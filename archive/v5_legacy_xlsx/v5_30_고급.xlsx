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우리집" sheetId="1" state="visible" r:id="rId1"/>
    <sheet name="표준면적" sheetId="2" state="visible" r:id="rId2"/>
    <sheet name="공사범위" sheetId="3" state="visible" r:id="rId3"/>
    <sheet name="욕실설정" sheetId="4" state="hidden" r:id="rId4"/>
    <sheet name="주방설정" sheetId="5" state="hidden" r:id="rId5"/>
    <sheet name="확장설정" sheetId="6" state="hidden" r:id="rId6"/>
    <sheet name="공사비산출" sheetId="7" state="visible" r:id="rId7"/>
    <sheet name="자재마스터" sheetId="8" state="visible" r:id="rId8"/>
    <sheet name="평형DB시나리오" sheetId="9" state="visible" r:id="rId9"/>
    <sheet name="검증결과" sheetId="10" state="visible" r:id="rId10"/>
    <sheet name="견적요청서" sheetId="11" state="visible" r:id="rId11"/>
    <sheet name="24평_시나리오" sheetId="12" state="visible" r:id="rId12"/>
  </sheets>
  <definedNames>
    <definedName name="_xlnm._FilterDatabase" localSheetId="7" hidden="1">'자재마스터'!$A$1:$AA$192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\m"/>
    <numFmt numFmtId="165" formatCode="#,##0.0"/>
    <numFmt numFmtId="166" formatCode="0.00\㎡"/>
    <numFmt numFmtId="167" formatCode="#,##0\원"/>
    <numFmt numFmtId="168" formatCode="#,##0&quot;원/평&quot;"/>
    <numFmt numFmtId="169" formatCode="#,##0;\(#,##0\);\-"/>
  </numFmts>
  <fonts count="28">
    <font>
      <name val="맑은 고딕"/>
      <charset val="129"/>
      <family val="2"/>
      <color theme="1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"/>
      <family val="0"/>
      <b val="1"/>
      <color rgb="FFFFFFFF"/>
      <sz val="13"/>
    </font>
    <font>
      <name val="맑은 고딕"/>
      <charset val="129"/>
      <family val="2"/>
      <sz val="11"/>
    </font>
    <font>
      <name val="맑은 고딕"/>
      <charset val="1"/>
      <family val="0"/>
      <b val="1"/>
      <color rgb="FF000000"/>
      <sz val="11"/>
    </font>
    <font>
      <name val="맑은 고딕"/>
      <charset val="1"/>
      <family val="0"/>
      <b val="1"/>
      <color rgb="FFC00000"/>
      <sz val="12"/>
    </font>
    <font>
      <name val="맑은 고딕"/>
      <charset val="1"/>
      <family val="0"/>
      <color rgb="FF000000"/>
      <sz val="10"/>
    </font>
    <font>
      <name val="맑은 고딕"/>
      <charset val="1"/>
      <family val="0"/>
      <i val="1"/>
      <color rgb="FF808080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color rgb="FF666666"/>
      <sz val="11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color rgb="FF1F4E78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000000"/>
      <sz val="11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000000"/>
      <sz val="11"/>
    </font>
    <font>
      <name val="맑은 고딕"/>
      <charset val="1"/>
      <family val="0"/>
      <b val="1"/>
      <color rgb="FF000000"/>
      <sz val="12"/>
    </font>
    <font>
      <name val="맑은 고딕"/>
      <charset val="1"/>
      <family val="0"/>
      <color rgb="FF1F4E78"/>
      <sz val="10"/>
    </font>
    <font>
      <name val="맑은 고딕"/>
      <charset val="1"/>
      <family val="0"/>
      <b val="1"/>
      <color rgb="FFFFFFFF"/>
      <sz val="12"/>
    </font>
    <font>
      <name val="맑은 고딕"/>
      <charset val="1"/>
      <family val="0"/>
      <b val="1"/>
      <color rgb="FF808080"/>
      <sz val="12"/>
    </font>
    <font>
      <name val="맑은 고딕"/>
      <charset val="1"/>
      <family val="0"/>
      <b val="1"/>
      <color rgb="FF1F4E78"/>
      <sz val="10"/>
    </font>
    <font>
      <name val="맑은 고딕"/>
      <charset val="129"/>
      <family val="2"/>
      <b val="1"/>
      <sz val="12"/>
    </font>
    <font>
      <name val="맑은 고딕"/>
      <charset val="1"/>
      <family val="0"/>
      <b val="1"/>
      <color rgb="FF000000"/>
      <sz val="13"/>
    </font>
    <font>
      <name val="맑은 고딕"/>
      <charset val="1"/>
      <family val="0"/>
      <color rgb="FFFFFFFF"/>
      <sz val="12"/>
    </font>
    <font>
      <name val="Arial"/>
      <charset val="1"/>
      <family val="0"/>
      <color rgb="FF0070C0"/>
      <sz val="10"/>
    </font>
    <font>
      <name val="맑은 고딕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EEAF6"/>
        <bgColor rgb="FFD9D9D9"/>
      </patternFill>
    </fill>
    <fill>
      <patternFill patternType="solid">
        <fgColor rgb="FF2E75B6"/>
        <bgColor rgb="FF0070C0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2" fontId="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EEAF6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7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A71" activeCellId="0" sqref="A71"/>
    </sheetView>
  </sheetViews>
  <sheetFormatPr baseColWidth="8" defaultColWidth="7.8359375" defaultRowHeight="15" customHeight="0" zeroHeight="0" outlineLevelRow="0"/>
  <cols>
    <col width="27.52" customWidth="1" style="92" min="1" max="1"/>
    <col width="18.82" customWidth="1" style="93" min="2" max="2"/>
    <col width="33.03" customWidth="1" style="92" min="3" max="3"/>
    <col width="25.69" customWidth="1" style="93" min="4" max="4"/>
    <col width="11.01" customWidth="1" style="94" min="5" max="7"/>
    <col width="11.01" customWidth="1" style="94" min="10" max="10"/>
  </cols>
  <sheetData>
    <row r="1" ht="21.75" customHeight="1" s="95">
      <c r="A1" s="96" t="inlineStr">
        <is>
          <t>▣ 우리집 예상 공사비 (실시간 자동 산정)</t>
        </is>
      </c>
      <c r="H1" s="97" t="n"/>
      <c r="I1" s="97" t="n"/>
      <c r="J1" s="97" t="n"/>
      <c r="K1" s="97" t="n"/>
      <c r="L1" s="97" t="n"/>
      <c r="M1" s="97" t="n"/>
      <c r="N1" s="97" t="n"/>
    </row>
    <row r="2" ht="19.5" customHeight="1" s="95">
      <c r="A2" s="98" t="inlineStr">
        <is>
          <t>총 공사비 (부가세 별도)</t>
        </is>
      </c>
      <c r="B2" s="99">
        <f>공사비산출!B3</f>
        <v/>
      </c>
      <c r="C2" s="100" t="inlineStr">
        <is>
          <t>원</t>
        </is>
      </c>
      <c r="D2" s="101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</row>
    <row r="3" ht="19.5" customHeight="1" s="95">
      <c r="A3" s="98" t="inlineStr">
        <is>
          <t>총 공사비 (부가세 포함)</t>
        </is>
      </c>
      <c r="B3" s="99">
        <f>공사비산출!B5</f>
        <v/>
      </c>
      <c r="C3" s="100" t="inlineStr">
        <is>
          <t>원</t>
        </is>
      </c>
      <c r="H3" s="97" t="n"/>
      <c r="I3" s="97" t="n"/>
      <c r="J3" s="97" t="n"/>
      <c r="K3" s="97" t="n"/>
      <c r="L3" s="97" t="n"/>
      <c r="M3" s="97" t="n"/>
      <c r="N3" s="97" t="n"/>
    </row>
    <row r="4" ht="19.5" customHeight="1" s="95">
      <c r="A4" s="98" t="inlineStr">
        <is>
          <t>평당 공사비 (부가세 별도)</t>
        </is>
      </c>
      <c r="B4" s="99">
        <f>공사비산출!E3</f>
        <v/>
      </c>
      <c r="C4" s="100" t="inlineStr">
        <is>
          <t>원/평</t>
        </is>
      </c>
      <c r="D4" s="102" t="n"/>
      <c r="E4" s="103" t="n"/>
      <c r="F4" s="103" t="n"/>
      <c r="G4" s="103" t="n"/>
      <c r="H4" s="97" t="n"/>
      <c r="I4" s="97" t="n"/>
      <c r="J4" s="97" t="n"/>
      <c r="K4" s="97" t="n"/>
      <c r="L4" s="97" t="n"/>
      <c r="M4" s="97" t="n"/>
      <c r="N4" s="97" t="n"/>
    </row>
    <row r="5" ht="15" customHeight="1" s="95">
      <c r="A5" s="104" t="inlineStr">
        <is>
          <t>본 시트의 항목을 입력하면 상단 총공사비가 실시간 갱신됩니다 (apt-planner v2)</t>
        </is>
      </c>
      <c r="B5" s="105" t="n"/>
      <c r="C5" s="105" t="n"/>
      <c r="D5" s="105" t="n"/>
      <c r="E5" s="105" t="n"/>
      <c r="F5" s="105" t="n"/>
      <c r="G5" s="106" t="n"/>
      <c r="H5" s="97" t="n"/>
      <c r="I5" s="97" t="n"/>
      <c r="J5" s="97" t="n"/>
      <c r="K5" s="97" t="n"/>
      <c r="L5" s="97" t="n"/>
      <c r="M5" s="97" t="n"/>
      <c r="N5" s="97" t="n"/>
    </row>
    <row r="6" ht="15" customHeight="1" s="95">
      <c r="A6" s="107" t="n"/>
      <c r="B6" s="108" t="n"/>
      <c r="C6" s="109" t="n"/>
      <c r="D6" s="102" t="n"/>
      <c r="E6" s="103" t="n"/>
      <c r="F6" s="103" t="n"/>
      <c r="G6" s="103" t="n"/>
      <c r="H6" s="97" t="n"/>
      <c r="I6" s="97" t="n"/>
      <c r="J6" s="97" t="n"/>
      <c r="K6" s="97" t="n"/>
      <c r="L6" s="97" t="n"/>
      <c r="M6" s="97" t="n"/>
      <c r="N6" s="97" t="n"/>
    </row>
    <row r="7" ht="18.65" customHeight="1" s="95">
      <c r="A7" s="110" t="inlineStr">
        <is>
          <t>▣ 1. 기본 정보</t>
        </is>
      </c>
      <c r="B7" s="105" t="n"/>
      <c r="C7" s="105" t="n"/>
      <c r="D7" s="105" t="n"/>
      <c r="E7" s="105" t="n"/>
      <c r="F7" s="105" t="n"/>
      <c r="G7" s="106" t="n"/>
      <c r="H7" s="97" t="n"/>
      <c r="I7" s="97" t="n"/>
      <c r="J7" s="97" t="n"/>
      <c r="K7" s="97" t="n"/>
      <c r="L7" s="97" t="n"/>
      <c r="M7" s="97" t="n"/>
      <c r="N7" s="97" t="n"/>
    </row>
    <row r="8" ht="15" customHeight="1" s="95">
      <c r="A8" s="111" t="inlineStr">
        <is>
          <t>평형 (공급평, 자동산정 ← B13 또는 D13)</t>
        </is>
      </c>
      <c r="B8" s="112" t="n">
        <v>30</v>
      </c>
      <c r="C8" s="111" t="inlineStr">
        <is>
          <t>평형은 B13(공급평)·D13(전용㎡) 중 하나만 입력. D13 우선. (2.4825 = 3.31 × 0.75)</t>
        </is>
      </c>
      <c r="D8" s="102" t="n"/>
      <c r="E8" s="103" t="n"/>
      <c r="F8" s="103" t="n"/>
      <c r="G8" s="103" t="n"/>
      <c r="H8" s="97" t="n"/>
      <c r="I8" s="97" t="n"/>
      <c r="J8" s="97" t="n"/>
      <c r="K8" s="97" t="n"/>
      <c r="L8" s="97" t="n"/>
      <c r="M8" s="97" t="n"/>
      <c r="N8" s="97" t="n"/>
    </row>
    <row r="9" ht="15" customHeight="1" s="95">
      <c r="A9" s="113" t="inlineStr">
        <is>
          <t>베이수 (2/3/4/5)</t>
        </is>
      </c>
      <c r="B9" s="114" t="n">
        <v>3</v>
      </c>
      <c r="C9" s="111" t="inlineStr">
        <is>
          <t>20평대=2~4 / 30평대=2~4 / 40평+=3~5</t>
        </is>
      </c>
      <c r="D9" s="102" t="n"/>
      <c r="E9" s="103" t="n"/>
      <c r="F9" s="103" t="n"/>
      <c r="G9" s="103" t="n"/>
      <c r="H9" s="97" t="n"/>
      <c r="I9" s="97" t="n"/>
      <c r="J9" s="97" t="n"/>
      <c r="K9" s="97" t="n"/>
      <c r="L9" s="97" t="n"/>
      <c r="M9" s="97" t="n"/>
      <c r="N9" s="97" t="n"/>
    </row>
    <row r="10" ht="15" customHeight="1" s="95">
      <c r="A10" s="113" t="inlineStr">
        <is>
          <t>방 개수 (자동, 수정 가능)</t>
        </is>
      </c>
      <c r="B10" s="112">
        <f>IF(B8&lt;22,2,IF(B8&lt;32,3,IF(B8&lt;45,4,5)))</f>
        <v/>
      </c>
      <c r="C10" s="111" t="inlineStr">
        <is>
          <t>평형 자동: &lt;22:2 / &lt;32:3 / &lt;45:4 / 45+:5</t>
        </is>
      </c>
      <c r="D10" s="102" t="n"/>
      <c r="E10" s="103" t="n"/>
      <c r="F10" s="103" t="n"/>
      <c r="G10" s="103" t="n"/>
      <c r="H10" s="97" t="n"/>
      <c r="I10" s="97" t="n"/>
      <c r="J10" s="97" t="n"/>
      <c r="K10" s="97" t="n"/>
      <c r="L10" s="97" t="n"/>
      <c r="M10" s="97" t="n"/>
      <c r="N10" s="97" t="n"/>
    </row>
    <row r="11" ht="15" customHeight="1" s="95">
      <c r="A11" s="113" t="inlineStr">
        <is>
          <t>공용욕실 개수</t>
        </is>
      </c>
      <c r="B11" s="114" t="n">
        <v>1</v>
      </c>
      <c r="C11" s="113" t="inlineStr">
        <is>
          <t>보통 1개</t>
        </is>
      </c>
      <c r="D11" s="102" t="n"/>
      <c r="E11" s="103" t="n"/>
      <c r="F11" s="103" t="n"/>
      <c r="G11" s="103" t="n"/>
      <c r="H11" s="97" t="n"/>
      <c r="I11" s="97" t="n"/>
      <c r="J11" s="97" t="n"/>
      <c r="K11" s="97" t="n"/>
      <c r="L11" s="97" t="n"/>
      <c r="M11" s="97" t="n"/>
      <c r="N11" s="97" t="n"/>
    </row>
    <row r="12" ht="15" customHeight="1" s="95">
      <c r="A12" s="113" t="inlineStr">
        <is>
          <t>부부욕실 유무 (1=있음, 0=없음)</t>
        </is>
      </c>
      <c r="B12" s="114" t="n">
        <v>1</v>
      </c>
      <c r="C12" s="111" t="inlineStr">
        <is>
          <t>평형 자동: &lt;22:2 / &lt;32:3 / &lt;45:4 / 45+:5</t>
        </is>
      </c>
      <c r="D12" s="102" t="n"/>
      <c r="E12" s="103" t="n"/>
      <c r="F12" s="103" t="n"/>
      <c r="G12" s="103" t="n"/>
      <c r="H12" s="97" t="n"/>
      <c r="I12" s="97" t="n"/>
      <c r="J12" s="97" t="n"/>
      <c r="K12" s="97" t="n"/>
      <c r="L12" s="97" t="n"/>
      <c r="M12" s="97" t="n"/>
      <c r="N12" s="97" t="n"/>
    </row>
    <row r="13" ht="15" customHeight="1" s="95">
      <c r="A13" s="115" t="inlineStr">
        <is>
          <t>욕실 총 개수 (자동)</t>
        </is>
      </c>
      <c r="B13" s="116">
        <f>B11+B12</f>
        <v/>
      </c>
      <c r="C13" s="115" t="inlineStr">
        <is>
          <t>공용+부부 합산</t>
        </is>
      </c>
      <c r="D13" s="101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</row>
    <row r="14" ht="15" customHeight="1" s="95">
      <c r="A14" s="117" t="inlineStr">
        <is>
          <t>공급면적 (㎡, 자동)</t>
        </is>
      </c>
      <c r="B14" s="118">
        <f>B8*3.31</f>
        <v/>
      </c>
      <c r="C14" s="117" t="inlineStr">
        <is>
          <t>평*3.31</t>
        </is>
      </c>
      <c r="K14" s="97" t="n"/>
      <c r="L14" s="97" t="n"/>
      <c r="M14" s="97" t="n"/>
      <c r="N14" s="97" t="n"/>
    </row>
    <row r="15" ht="15" customHeight="1" s="95">
      <c r="A15" s="113" t="inlineStr">
        <is>
          <t>전용면적 (㎡, 자동)</t>
        </is>
      </c>
      <c r="B15" s="114">
        <f>B14*0.75</f>
        <v/>
      </c>
      <c r="C15" s="113" t="inlineStr">
        <is>
          <t>공급*0.75</t>
        </is>
      </c>
      <c r="D15" s="101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</row>
    <row r="16" ht="15" customHeight="1" s="95">
      <c r="A16" s="117" t="inlineStr">
        <is>
          <t>외부창 면적 (㎡, 자동)</t>
        </is>
      </c>
      <c r="B16" s="119">
        <f>INDEX(표준면적!$B$11:$G$11,1,MATCH(표준면적!$J$2,표준면적!$B$2:$G$2,0))+(INDEX(표준면적!$B$11:$G$11,1,MATCH(표준면적!$J$2,표준면적!$B$2:$G$2,0)+1)-INDEX(표준면적!$B$11:$G$11,1,MATCH(표준면적!$J$2,표준면적!$B$2:$G$2,0)))*표준면적!$J$4</f>
        <v/>
      </c>
      <c r="C16" s="117" t="inlineStr">
        <is>
          <t>베이별 자동</t>
        </is>
      </c>
      <c r="D16" s="101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</row>
    <row r="17" ht="15.65" customHeight="1" s="95">
      <c r="A17" s="120" t="inlineStr">
        <is>
          <t>└─ 평형 직접 입력 (B13: 공급평 / D13: 전용㎡, 둘 중 하나)</t>
        </is>
      </c>
      <c r="B17" s="114" t="n">
        <v>30</v>
      </c>
      <c r="C17" s="113" t="inlineStr">
        <is>
          <t>← 공급평(평) | 전용㎡(㎡) →</t>
        </is>
      </c>
      <c r="D17" s="121" t="n"/>
      <c r="E17" s="121" t="n"/>
      <c r="F17" s="121" t="n"/>
      <c r="G17" s="121" t="n"/>
      <c r="H17" s="121" t="n"/>
      <c r="I17" s="121" t="n"/>
      <c r="J17" s="121" t="n"/>
      <c r="K17" s="97" t="n"/>
      <c r="L17" s="97" t="n"/>
      <c r="M17" s="97" t="n"/>
      <c r="N17" s="97" t="n"/>
    </row>
    <row r="18" ht="18.65" customHeight="1" s="95">
      <c r="A18" s="110" t="inlineStr">
        <is>
          <t>▣ 2. 공사범위 — 확장설정 + 공간별 시공 매트릭스</t>
        </is>
      </c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6" t="n"/>
      <c r="K18" s="97" t="n"/>
      <c r="L18" s="97" t="n"/>
      <c r="M18" s="97" t="n"/>
      <c r="N18" s="97" t="n"/>
    </row>
    <row r="19" ht="15" customHeight="1" s="95">
      <c r="A19" s="113" t="inlineStr">
        <is>
          <t>발코니 깊이 (m)</t>
        </is>
      </c>
      <c r="B19" s="114" t="n">
        <v>1.5</v>
      </c>
      <c r="C19" s="113" t="inlineStr">
        <is>
          <t>표준 1.5m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97" t="n"/>
      <c r="L19" s="97" t="n"/>
      <c r="M19" s="97" t="n"/>
      <c r="N19" s="97" t="n"/>
    </row>
    <row r="20" ht="15" customHeight="1" s="95">
      <c r="A20" s="107" t="n"/>
      <c r="B20" s="122" t="n"/>
      <c r="C20" s="109" t="n"/>
      <c r="D20" s="122" t="n"/>
      <c r="E20" s="122" t="n"/>
      <c r="F20" s="122" t="n"/>
      <c r="G20" s="122" t="n"/>
      <c r="H20" s="122" t="n"/>
      <c r="I20" s="122" t="n"/>
      <c r="J20" s="122" t="n"/>
      <c r="K20" s="97" t="n"/>
      <c r="L20" s="97" t="n"/>
      <c r="M20" s="97" t="n"/>
      <c r="N20" s="97" t="n"/>
    </row>
    <row r="21" ht="15" customHeight="1" s="95">
      <c r="A21" s="113" t="inlineStr">
        <is>
          <t>공간</t>
        </is>
      </c>
      <c r="B21" s="114" t="inlineStr">
        <is>
          <t>현재 확장 상태</t>
        </is>
      </c>
      <c r="C21" s="113" t="inlineStr">
        <is>
          <t>확장 후</t>
        </is>
      </c>
      <c r="D21" s="114" t="inlineStr">
        <is>
          <t>바닥재</t>
        </is>
      </c>
      <c r="E21" s="114" t="inlineStr">
        <is>
          <t>도배</t>
        </is>
      </c>
      <c r="F21" s="114" t="inlineStr">
        <is>
          <t>몰딩/걸레받이</t>
        </is>
      </c>
      <c r="G21" s="114" t="inlineStr">
        <is>
          <t>에어컨</t>
        </is>
      </c>
      <c r="H21" s="114" t="inlineStr">
        <is>
          <t>붙박이장</t>
        </is>
      </c>
      <c r="I21" s="114" t="inlineStr">
        <is>
          <t>실링팬</t>
        </is>
      </c>
      <c r="J21" s="114" t="inlineStr">
        <is>
          <t>샷시 교체</t>
        </is>
      </c>
      <c r="K21" s="97" t="n"/>
      <c r="L21" s="97" t="n"/>
      <c r="M21" s="97" t="n"/>
      <c r="N21" s="97" t="n"/>
    </row>
    <row r="22" ht="15" customHeight="1" s="95">
      <c r="A22" s="113" t="inlineStr">
        <is>
          <t>거실</t>
        </is>
      </c>
      <c r="B22" s="114" t="inlineStr">
        <is>
          <t>N</t>
        </is>
      </c>
      <c r="C22" s="113" t="inlineStr">
        <is>
          <t>Y</t>
        </is>
      </c>
      <c r="D22" s="114" t="inlineStr">
        <is>
          <t>Y</t>
        </is>
      </c>
      <c r="E22" s="114" t="inlineStr">
        <is>
          <t>Y</t>
        </is>
      </c>
      <c r="F22" s="114" t="inlineStr">
        <is>
          <t>Y</t>
        </is>
      </c>
      <c r="G22" s="114" t="inlineStr">
        <is>
          <t>Y</t>
        </is>
      </c>
      <c r="H22" s="114" t="inlineStr">
        <is>
          <t>-</t>
        </is>
      </c>
      <c r="I22" s="114" t="inlineStr">
        <is>
          <t>Y</t>
        </is>
      </c>
      <c r="J22" s="114" t="inlineStr">
        <is>
          <t>Y</t>
        </is>
      </c>
      <c r="K22" s="97" t="n"/>
      <c r="L22" s="97" t="n"/>
      <c r="M22" s="97" t="n"/>
      <c r="N22" s="97" t="n"/>
    </row>
    <row r="23" ht="15" customHeight="1" s="95">
      <c r="A23" s="113" t="inlineStr">
        <is>
          <t>주방</t>
        </is>
      </c>
      <c r="B23" s="114" t="inlineStr">
        <is>
          <t>N</t>
        </is>
      </c>
      <c r="C23" s="113" t="inlineStr">
        <is>
          <t>Y</t>
        </is>
      </c>
      <c r="D23" s="114" t="inlineStr">
        <is>
          <t>Y</t>
        </is>
      </c>
      <c r="E23" s="114" t="inlineStr">
        <is>
          <t>Y</t>
        </is>
      </c>
      <c r="F23" s="114" t="inlineStr">
        <is>
          <t>Y</t>
        </is>
      </c>
      <c r="G23" s="114" t="inlineStr">
        <is>
          <t>-</t>
        </is>
      </c>
      <c r="H23" s="114" t="inlineStr">
        <is>
          <t>-</t>
        </is>
      </c>
      <c r="I23" s="114" t="inlineStr">
        <is>
          <t>-</t>
        </is>
      </c>
      <c r="J23" s="114" t="inlineStr">
        <is>
          <t>Y</t>
        </is>
      </c>
      <c r="K23" s="97" t="n"/>
      <c r="L23" s="97" t="n"/>
      <c r="M23" s="97" t="n"/>
      <c r="N23" s="97" t="n"/>
    </row>
    <row r="24" ht="15" customHeight="1" s="95">
      <c r="A24" s="113" t="inlineStr">
        <is>
          <t>안방</t>
        </is>
      </c>
      <c r="B24" s="114" t="inlineStr">
        <is>
          <t>N</t>
        </is>
      </c>
      <c r="C24" s="113" t="inlineStr">
        <is>
          <t>N</t>
        </is>
      </c>
      <c r="D24" s="114" t="inlineStr">
        <is>
          <t>Y</t>
        </is>
      </c>
      <c r="E24" s="114" t="inlineStr">
        <is>
          <t>Y</t>
        </is>
      </c>
      <c r="F24" s="114" t="inlineStr">
        <is>
          <t>Y</t>
        </is>
      </c>
      <c r="G24" s="114" t="inlineStr">
        <is>
          <t>Y</t>
        </is>
      </c>
      <c r="H24" s="114" t="inlineStr">
        <is>
          <t>Y</t>
        </is>
      </c>
      <c r="I24" s="114" t="inlineStr">
        <is>
          <t>Y</t>
        </is>
      </c>
      <c r="J24" s="114" t="inlineStr">
        <is>
          <t>Y</t>
        </is>
      </c>
      <c r="K24" s="97" t="n"/>
      <c r="L24" s="97" t="n"/>
      <c r="M24" s="97" t="n"/>
      <c r="N24" s="97" t="n"/>
    </row>
    <row r="25" ht="15" customHeight="1" s="95">
      <c r="A25" s="117" t="inlineStr">
        <is>
          <t>작은방1</t>
        </is>
      </c>
      <c r="B25" s="118" t="inlineStr">
        <is>
          <t>N</t>
        </is>
      </c>
      <c r="C25" s="117" t="inlineStr">
        <is>
          <t>Y</t>
        </is>
      </c>
      <c r="D25" s="118" t="inlineStr">
        <is>
          <t>Y</t>
        </is>
      </c>
      <c r="E25" s="118" t="inlineStr">
        <is>
          <t>Y</t>
        </is>
      </c>
      <c r="F25" s="118" t="inlineStr">
        <is>
          <t>Y</t>
        </is>
      </c>
      <c r="G25" s="118" t="inlineStr">
        <is>
          <t>Y</t>
        </is>
      </c>
      <c r="H25" s="118" t="inlineStr">
        <is>
          <t>Y</t>
        </is>
      </c>
      <c r="I25" s="118" t="inlineStr">
        <is>
          <t>-</t>
        </is>
      </c>
      <c r="J25" s="118" t="inlineStr">
        <is>
          <t>Y</t>
        </is>
      </c>
      <c r="K25" s="97" t="n"/>
      <c r="L25" s="97" t="n"/>
      <c r="M25" s="97" t="n"/>
      <c r="N25" s="97" t="n"/>
    </row>
    <row r="26" ht="15" customHeight="1" s="95">
      <c r="A26" s="117" t="inlineStr">
        <is>
          <t>작은방2</t>
        </is>
      </c>
      <c r="B26" s="118" t="inlineStr">
        <is>
          <t>N</t>
        </is>
      </c>
      <c r="C26" s="117" t="inlineStr">
        <is>
          <t>Y</t>
        </is>
      </c>
      <c r="D26" s="118" t="inlineStr">
        <is>
          <t>Y</t>
        </is>
      </c>
      <c r="E26" s="118" t="inlineStr">
        <is>
          <t>Y</t>
        </is>
      </c>
      <c r="F26" s="118" t="inlineStr">
        <is>
          <t>Y</t>
        </is>
      </c>
      <c r="G26" s="118" t="inlineStr">
        <is>
          <t>-</t>
        </is>
      </c>
      <c r="H26" s="118" t="inlineStr">
        <is>
          <t>Y</t>
        </is>
      </c>
      <c r="I26" s="118" t="inlineStr">
        <is>
          <t>-</t>
        </is>
      </c>
      <c r="J26" s="118" t="inlineStr">
        <is>
          <t>Y</t>
        </is>
      </c>
      <c r="K26" s="97" t="n"/>
      <c r="L26" s="97" t="n"/>
      <c r="M26" s="97" t="n"/>
      <c r="N26" s="97" t="n"/>
    </row>
    <row r="27" ht="15" customHeight="1" s="95">
      <c r="A27" s="113" t="n"/>
      <c r="B27" s="114" t="n"/>
      <c r="C27" s="113" t="n"/>
      <c r="D27" s="118" t="n"/>
      <c r="E27" s="118" t="n"/>
      <c r="F27" s="118" t="n"/>
      <c r="G27" s="118" t="n"/>
      <c r="H27" s="118" t="n"/>
      <c r="I27" s="118" t="n"/>
      <c r="J27" s="118" t="n"/>
      <c r="K27" s="97" t="n"/>
      <c r="L27" s="97" t="n"/>
      <c r="M27" s="97" t="n"/>
      <c r="N27" s="97" t="n"/>
    </row>
    <row r="28" ht="18.65" customHeight="1" s="95">
      <c r="A28" s="110" t="inlineStr">
        <is>
          <t>▣ 2. 공사범위 — 전체공종 토글 + 추가 옵션</t>
        </is>
      </c>
      <c r="B28" s="105" t="n"/>
      <c r="C28" s="105" t="n"/>
      <c r="D28" s="105" t="n"/>
      <c r="E28" s="105" t="n"/>
      <c r="F28" s="105" t="n"/>
      <c r="G28" s="106" t="n"/>
      <c r="H28" s="118" t="n"/>
      <c r="I28" s="118" t="n"/>
      <c r="J28" s="118" t="n"/>
      <c r="K28" s="97" t="n"/>
      <c r="L28" s="97" t="n"/>
      <c r="M28" s="97" t="n"/>
      <c r="N28" s="97" t="n"/>
    </row>
    <row r="29" ht="15.65" customHeight="1" s="95">
      <c r="A29" s="123" t="inlineStr">
        <is>
          <t>항목</t>
        </is>
      </c>
      <c r="B29" s="124" t="inlineStr">
        <is>
          <t>값</t>
        </is>
      </c>
      <c r="C29" s="109" t="inlineStr">
        <is>
          <t>안내</t>
        </is>
      </c>
      <c r="D29" s="101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</row>
    <row r="30" hidden="1" ht="16.15" customHeight="1" s="95">
      <c r="A30" s="110" t="inlineStr">
        <is>
          <t>철거공사</t>
        </is>
      </c>
      <c r="B30" s="125" t="inlineStr">
        <is>
          <t>Y</t>
        </is>
      </c>
      <c r="C30" s="92" t="inlineStr">
        <is>
          <t>전용면적 전체</t>
        </is>
      </c>
      <c r="H30" s="97" t="n"/>
      <c r="I30" s="97" t="n"/>
      <c r="J30" s="97" t="n"/>
      <c r="K30" s="97" t="n"/>
      <c r="L30" s="97" t="n"/>
      <c r="M30" s="97" t="n"/>
      <c r="N30" s="97" t="n"/>
    </row>
    <row r="31" ht="15" customHeight="1" s="95">
      <c r="A31" s="113" t="inlineStr">
        <is>
          <t>난방배관 교체</t>
        </is>
      </c>
      <c r="B31" s="126" t="inlineStr">
        <is>
          <t>N</t>
        </is>
      </c>
      <c r="C31" s="111" t="inlineStr">
        <is>
          <t>노후 난방 엑셀파이프 전체 교체 (공급평 × 30만원). 철거 시 함께 권장.</t>
        </is>
      </c>
      <c r="D31" s="101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</row>
    <row r="32" ht="15" customHeight="1" s="95">
      <c r="A32" s="113" t="inlineStr">
        <is>
          <t>단열공사</t>
        </is>
      </c>
      <c r="B32" s="114" t="inlineStr">
        <is>
          <t>Y</t>
        </is>
      </c>
      <c r="C32" s="113" t="inlineStr">
        <is>
          <t>전용면적 전체</t>
        </is>
      </c>
      <c r="D32" s="101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</row>
    <row r="33" ht="15.05" customHeight="1" s="95">
      <c r="A33" s="113" t="inlineStr">
        <is>
          <t>샷시 교체 (자동 — 공간별 합산)</t>
        </is>
      </c>
      <c r="B33" s="114">
        <f>IF(COUNTIF(J22:J26,"Y")&gt;0,"Y","N")</f>
        <v/>
      </c>
      <c r="C33" s="113" t="inlineStr">
        <is>
          <t>매트릭스 J열(공간별 샷시) 합산 자동. 공간별로 J에 입력하세요.</t>
        </is>
      </c>
      <c r="D33" s="101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</row>
    <row r="34" ht="15" customHeight="1" s="95">
      <c r="A34" s="111" t="inlineStr">
        <is>
          <t>공용욕실 세트</t>
        </is>
      </c>
      <c r="B34" s="127" t="inlineStr">
        <is>
          <t>Y</t>
        </is>
      </c>
      <c r="C34" s="111" t="inlineStr">
        <is>
          <t>공용욕실 개수만큼</t>
        </is>
      </c>
      <c r="D34" s="101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</row>
    <row r="35" ht="15" customHeight="1" s="95">
      <c r="A35" s="113" t="inlineStr">
        <is>
          <t>부부욕실 세트</t>
        </is>
      </c>
      <c r="B35" s="112" t="inlineStr">
        <is>
          <t>Y</t>
        </is>
      </c>
      <c r="C35" s="111" t="inlineStr">
        <is>
          <t>부부욕실 유무 (0/1)</t>
        </is>
      </c>
      <c r="D35" s="101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</row>
    <row r="36" ht="15" customHeight="1" s="95">
      <c r="A36" s="113" t="inlineStr">
        <is>
          <t>주방가구</t>
        </is>
      </c>
      <c r="B36" s="114" t="inlineStr">
        <is>
          <t>Y</t>
        </is>
      </c>
      <c r="C36" s="113" t="inlineStr">
        <is>
          <t>3.6m 환산</t>
        </is>
      </c>
      <c r="D36" s="101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</row>
    <row r="37" ht="15" customHeight="1" s="95">
      <c r="A37" s="113" t="inlineStr">
        <is>
          <t>중문</t>
        </is>
      </c>
      <c r="B37" s="114" t="inlineStr">
        <is>
          <t>Y</t>
        </is>
      </c>
      <c r="C37" s="113" t="inlineStr">
        <is>
          <t>1ea</t>
        </is>
      </c>
      <c r="D37" s="101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</row>
    <row r="38" ht="15" customHeight="1" s="95">
      <c r="A38" s="113" t="inlineStr">
        <is>
          <t>일반가구(현관)</t>
        </is>
      </c>
      <c r="B38" s="114" t="inlineStr">
        <is>
          <t>Y</t>
        </is>
      </c>
      <c r="C38" s="113" t="inlineStr">
        <is>
          <t>1ea</t>
        </is>
      </c>
      <c r="D38" s="128" t="n"/>
      <c r="E38" s="128" t="n"/>
      <c r="F38" s="128" t="n"/>
      <c r="G38" s="128" t="n"/>
      <c r="H38" s="97" t="n"/>
      <c r="I38" s="97" t="n"/>
      <c r="J38" s="97" t="n"/>
      <c r="K38" s="97" t="n"/>
      <c r="L38" s="97" t="n"/>
      <c r="M38" s="97" t="n"/>
      <c r="N38" s="97" t="n"/>
    </row>
    <row r="39" ht="15" customHeight="1" s="95">
      <c r="A39" s="113" t="inlineStr">
        <is>
          <t>조명 풀세트</t>
        </is>
      </c>
      <c r="B39" s="114" t="inlineStr">
        <is>
          <t>Y</t>
        </is>
      </c>
      <c r="C39" s="113" t="inlineStr">
        <is>
          <t>1set (개별 등기구로 대체 시 N)</t>
        </is>
      </c>
      <c r="D39" s="128" t="n"/>
      <c r="E39" s="128" t="n"/>
      <c r="F39" s="128" t="n"/>
      <c r="G39" s="128" t="n"/>
      <c r="H39" s="97" t="n"/>
      <c r="I39" s="97" t="n"/>
      <c r="J39" s="97" t="n"/>
      <c r="K39" s="97" t="n"/>
      <c r="L39" s="97" t="n"/>
      <c r="M39" s="97" t="n"/>
      <c r="N39" s="97" t="n"/>
    </row>
    <row r="40" ht="15" customHeight="1" s="95">
      <c r="A40" s="113" t="inlineStr">
        <is>
          <t>천정 목공사</t>
        </is>
      </c>
      <c r="B40" s="114" t="inlineStr">
        <is>
          <t>N</t>
        </is>
      </c>
      <c r="C40" s="113" t="inlineStr">
        <is>
          <t>거실 면적 기준</t>
        </is>
      </c>
      <c r="D40" s="128" t="n"/>
      <c r="E40" s="128" t="n"/>
      <c r="F40" s="128" t="n"/>
      <c r="G40" s="128" t="n"/>
      <c r="H40" s="128" t="n"/>
      <c r="I40" s="128" t="n"/>
      <c r="J40" s="97" t="n"/>
      <c r="K40" s="97" t="n"/>
      <c r="L40" s="97" t="n"/>
      <c r="M40" s="97" t="n"/>
      <c r="N40" s="97" t="n"/>
    </row>
    <row r="41" ht="15" customHeight="1" s="95">
      <c r="A41" s="113" t="inlineStr">
        <is>
          <t>가벽 신설 길이 (m)</t>
        </is>
      </c>
      <c r="B41" s="114" t="n">
        <v>0</v>
      </c>
      <c r="C41" s="113" t="inlineStr">
        <is>
          <t>가벽 신설 길이 입력 (m). 입력 시 목공사(길이×2.3㎡) + 양면 도배(길이×2.3×2㎡) 자동 산정. 0 또는 빈칸이면 산정 없음.</t>
        </is>
      </c>
      <c r="D41" s="128" t="n"/>
      <c r="E41" s="128" t="n"/>
      <c r="F41" s="128" t="n"/>
      <c r="G41" s="128" t="n"/>
      <c r="H41" s="128" t="n"/>
      <c r="I41" s="128" t="n"/>
      <c r="J41" s="97" t="n"/>
      <c r="K41" s="97" t="n"/>
      <c r="L41" s="97" t="n"/>
      <c r="M41" s="97" t="n"/>
      <c r="N41" s="97" t="n"/>
    </row>
    <row r="42" ht="15" customHeight="1" s="95">
      <c r="A42" s="113" t="inlineStr">
        <is>
          <t>에어컨 실외기 (자동)</t>
        </is>
      </c>
      <c r="B42" s="114">
        <f>공사범위!B21</f>
        <v/>
      </c>
      <c r="C42" s="113" t="inlineStr">
        <is>
          <t>시스템에어컨 ON 공간 있으면 자동 Y</t>
        </is>
      </c>
      <c r="D42" s="128" t="n"/>
      <c r="E42" s="128" t="n"/>
      <c r="F42" s="128" t="n"/>
      <c r="G42" s="128" t="n"/>
      <c r="H42" s="128" t="n"/>
      <c r="I42" s="128" t="n"/>
      <c r="J42" s="97" t="n"/>
      <c r="K42" s="97" t="n"/>
      <c r="L42" s="97" t="n"/>
      <c r="M42" s="97" t="n"/>
      <c r="N42" s="97" t="n"/>
    </row>
    <row r="43" ht="15" customHeight="1" s="95">
      <c r="A43" s="113" t="inlineStr">
        <is>
          <t>샷시 (자동 — 확장 시 강제)</t>
        </is>
      </c>
      <c r="B43" s="114">
        <f>공사범위!B22</f>
        <v/>
      </c>
      <c r="C43" s="111" t="inlineStr">
        <is>
          <t>외부창 면적 (전용 × 0.18). 확장 시 발코니 측 새 외부창은 자동 산정(산출 #82). 전체 샷시 교체 ON 시 비확장 공간 외부창만 추가.</t>
        </is>
      </c>
      <c r="D43" s="128" t="n"/>
      <c r="E43" s="128" t="n"/>
      <c r="F43" s="128" t="n"/>
      <c r="G43" s="128" t="n"/>
      <c r="H43" s="128" t="n"/>
      <c r="I43" s="128" t="n"/>
      <c r="J43" s="97" t="n"/>
      <c r="K43" s="97" t="n"/>
      <c r="L43" s="97" t="n"/>
      <c r="M43" s="97" t="n"/>
      <c r="N43" s="97" t="n"/>
    </row>
    <row r="44" ht="15" customHeight="1" s="95">
      <c r="A44" s="113" t="inlineStr">
        <is>
          <t>스위치/콘센트 교체</t>
        </is>
      </c>
      <c r="B44" s="114" t="inlineStr">
        <is>
          <t>Y</t>
        </is>
      </c>
      <c r="C44" s="113" t="inlineStr">
        <is>
          <t>평형별 자동 산출 (10평 18ea → 30평 34ea → 60평 56ea)</t>
        </is>
      </c>
      <c r="D44" s="128" t="n"/>
      <c r="E44" s="128" t="n"/>
      <c r="F44" s="128" t="n"/>
      <c r="G44" s="128" t="n"/>
      <c r="H44" s="128" t="n"/>
      <c r="I44" s="128" t="n"/>
      <c r="J44" s="97" t="n"/>
      <c r="K44" s="97" t="n"/>
      <c r="L44" s="97" t="n"/>
      <c r="M44" s="97" t="n"/>
      <c r="N44" s="97" t="n"/>
    </row>
    <row r="45" ht="15" customHeight="1" s="95">
      <c r="A45" s="113" t="inlineStr">
        <is>
          <t>인덕션 전용선</t>
        </is>
      </c>
      <c r="B45" s="114" t="inlineStr">
        <is>
          <t>Y</t>
        </is>
      </c>
      <c r="C45" s="111" t="inlineStr">
        <is>
          <t>220V 인덕션 전용선 신설 (분전반→주방, 50만원 기본)</t>
        </is>
      </c>
      <c r="D45" s="128" t="n"/>
      <c r="E45" s="128" t="n"/>
      <c r="F45" s="128" t="n"/>
      <c r="G45" s="128" t="n"/>
      <c r="H45" s="128" t="n"/>
      <c r="I45" s="128" t="n"/>
      <c r="J45" s="97" t="n"/>
      <c r="K45" s="97" t="n"/>
      <c r="L45" s="97" t="n"/>
      <c r="M45" s="97" t="n"/>
      <c r="N45" s="97" t="n"/>
    </row>
    <row r="46" ht="15" customHeight="1" s="95">
      <c r="A46" s="113" t="inlineStr">
        <is>
          <t>구청 확장공사 신고 (도면+신고대행)</t>
        </is>
      </c>
      <c r="B46" s="114" t="inlineStr">
        <is>
          <t>Y</t>
        </is>
      </c>
      <c r="C46" s="111" t="inlineStr">
        <is>
          <t>확장 시 권장 — 신고 미이행 시 과태료. 확장 없으면 자동 0원.</t>
        </is>
      </c>
      <c r="D46" s="128" t="n"/>
      <c r="E46" s="128" t="n"/>
      <c r="F46" s="128" t="n"/>
      <c r="G46" s="128" t="n"/>
      <c r="H46" s="128" t="n"/>
      <c r="I46" s="128" t="n"/>
      <c r="J46" s="97" t="n"/>
      <c r="K46" s="97" t="n"/>
      <c r="L46" s="97" t="n"/>
      <c r="M46" s="97" t="n"/>
      <c r="N46" s="97" t="n"/>
    </row>
    <row r="47" ht="15" customHeight="1" s="95">
      <c r="A47" s="113" t="inlineStr">
        <is>
          <t>분배기 교체</t>
        </is>
      </c>
      <c r="B47" s="114" t="inlineStr">
        <is>
          <t>N</t>
        </is>
      </c>
      <c r="C47" s="111" t="inlineStr">
        <is>
          <t>난방 분배기 교체 (50만원)</t>
        </is>
      </c>
      <c r="D47" s="128" t="n"/>
      <c r="E47" s="128" t="n"/>
      <c r="F47" s="128" t="n"/>
      <c r="G47" s="128" t="n"/>
      <c r="H47" s="128" t="n"/>
      <c r="I47" s="128" t="n"/>
      <c r="J47" s="97" t="n"/>
      <c r="K47" s="97" t="n"/>
      <c r="L47" s="97" t="n"/>
      <c r="M47" s="97" t="n"/>
      <c r="N47" s="97" t="n"/>
    </row>
    <row r="48" ht="15" customHeight="1" s="95">
      <c r="A48" s="113" t="inlineStr">
        <is>
          <t>배관 변경</t>
        </is>
      </c>
      <c r="B48" s="114" t="inlineStr">
        <is>
          <t>N</t>
        </is>
      </c>
      <c r="C48" s="111" t="inlineStr">
        <is>
          <t>주방 위치 변경 등 배관 변경 (50만원)</t>
        </is>
      </c>
      <c r="D48" s="101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</row>
    <row r="49" ht="15" customHeight="1" s="95">
      <c r="A49" s="113" t="inlineStr">
        <is>
          <t>난방온도조절기 교체</t>
        </is>
      </c>
      <c r="B49" s="118" t="inlineStr">
        <is>
          <t>Y</t>
        </is>
      </c>
      <c r="C49" s="117" t="inlineStr">
        <is>
          <t>거실+방 자동 산정 (평형별 ea)</t>
        </is>
      </c>
      <c r="H49" s="97" t="n"/>
      <c r="I49" s="97" t="n"/>
      <c r="J49" s="97" t="n"/>
      <c r="K49" s="97" t="n"/>
      <c r="L49" s="97" t="n"/>
      <c r="M49" s="97" t="n"/>
      <c r="N49" s="97" t="n"/>
    </row>
    <row r="50" ht="15" customHeight="1" s="95">
      <c r="A50" s="113" t="inlineStr">
        <is>
          <t>터닝도어 (자동 — 안방미확장+거실확장)</t>
        </is>
      </c>
      <c r="B50" s="114">
        <f>IF(AND(C24="N",C22="Y",OR(B22="N",J22="Y")),"Y","N")</f>
        <v/>
      </c>
      <c r="C50" s="113" t="inlineStr">
        <is>
          <t>평면 조건(안방 미확장+거실 확장) AND 교체 의사(거실 신규확장 OR 거실 샷시 교체)</t>
        </is>
      </c>
      <c r="D50" s="101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</row>
    <row r="51" ht="15" customHeight="1" s="95">
      <c r="A51" s="113" t="inlineStr">
        <is>
          <t>발코니 바닥타일</t>
        </is>
      </c>
      <c r="B51" s="114" t="inlineStr">
        <is>
          <t>Y</t>
        </is>
      </c>
      <c r="C51" s="113" t="inlineStr">
        <is>
          <t>확장 발코니 또는 확장 안 한 발코니 바닥타일 시공</t>
        </is>
      </c>
      <c r="D51" s="101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</row>
    <row r="52" ht="15" customHeight="1" s="95">
      <c r="A52" s="113" t="inlineStr">
        <is>
          <t>발코니 도장</t>
        </is>
      </c>
      <c r="B52" s="112" t="inlineStr">
        <is>
          <t>Y</t>
        </is>
      </c>
      <c r="C52" s="111" t="inlineStr">
        <is>
          <t>결로 방지 / 청결 유지용 발코니 도장. (※ 확장 시 면적 일부 0 자동)</t>
        </is>
      </c>
      <c r="D52" s="101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</row>
    <row r="53" ht="15" customHeight="1" s="95">
      <c r="A53" s="113" t="inlineStr">
        <is>
          <t>다용도실 바닥타일</t>
        </is>
      </c>
      <c r="B53" s="114" t="inlineStr">
        <is>
          <t>Y</t>
        </is>
      </c>
      <c r="C53" s="111" t="inlineStr">
        <is>
          <t>다용도실 바닥타일. (※ 주방 확장 시 자동 0)</t>
        </is>
      </c>
      <c r="D53" s="121" t="n"/>
      <c r="E53" s="121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</row>
    <row r="54" ht="15" customHeight="1" s="95">
      <c r="A54" s="113" t="inlineStr">
        <is>
          <t>다용도실 도장</t>
        </is>
      </c>
      <c r="B54" s="114" t="inlineStr">
        <is>
          <t>Y</t>
        </is>
      </c>
      <c r="C54" s="111" t="inlineStr">
        <is>
          <t>다용도실 도장. (※ 주방 확장 시 자동 0)</t>
        </is>
      </c>
      <c r="D54" s="122" t="n"/>
      <c r="E54" s="122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</row>
    <row r="55" ht="15" customHeight="1" s="95">
      <c r="A55" s="113" t="inlineStr">
        <is>
          <t>목공사 기본</t>
        </is>
      </c>
      <c r="B55" s="114" t="inlineStr">
        <is>
          <t>Y</t>
        </is>
      </c>
      <c r="C55" s="111" t="inlineStr">
        <is>
          <t>기본 목공 (몰딩 마감 등) — 인테리어 시 통상 포함</t>
        </is>
      </c>
      <c r="D55" s="122" t="n"/>
      <c r="E55" s="122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</row>
    <row r="56" ht="16.25" customHeight="1" s="95">
      <c r="A56" s="113" t="inlineStr">
        <is>
          <t>문틀/문짝 교체 (메인)</t>
        </is>
      </c>
      <c r="B56" s="118" t="inlineStr">
        <is>
          <t>그대로 사용</t>
        </is>
      </c>
      <c r="C56" s="129" t="inlineStr">
        <is>
          <t>"그대로 사용" / "문짝만 교체" / "필름 시공" / "문틀과 문짝 모두 새로 시공" (4택)</t>
        </is>
      </c>
      <c r="D56" s="93" t="inlineStr">
        <is>
          <t>└ 새시공 등급:</t>
        </is>
      </c>
      <c r="E56" s="94" t="inlineStr">
        <is>
          <t>표준</t>
        </is>
      </c>
      <c r="F56" s="130" t="inlineStr">
        <is>
          <t>"가성비"=12mm문선/"표준"=9mm슬림문선/"고급"=무문선 (메인="문틀과 문짝 모두 새로 시공"일 때만 유효)</t>
        </is>
      </c>
      <c r="H56" s="97" t="n"/>
      <c r="I56" s="97" t="n"/>
      <c r="J56" s="97" t="n"/>
      <c r="K56" s="97" t="n"/>
      <c r="L56" s="97" t="n"/>
      <c r="M56" s="97" t="n"/>
      <c r="N56" s="97" t="n"/>
    </row>
    <row r="57" ht="16.25" customHeight="1" s="95">
      <c r="A57" s="113" t="inlineStr">
        <is>
          <t>문짝 개수 (도면 기준, 수정가능)</t>
        </is>
      </c>
      <c r="B57" s="93">
        <f>IF(B8&lt;25,5,IF(B8&lt;35,7,IF(B8&lt;45,9,IF(B8&lt;55,10,11))))</f>
        <v/>
      </c>
      <c r="C57" s="92" t="inlineStr">
        <is>
          <t>평형별 자동 산정 (24평=5/30평대=7/40평대=9). 도면 기준 수동 입력 가능.</t>
        </is>
      </c>
      <c r="D57" s="131" t="n"/>
      <c r="E57" s="131" t="n"/>
      <c r="F57" s="131" t="n"/>
      <c r="G57" s="131" t="n"/>
      <c r="H57" s="97" t="n"/>
      <c r="I57" s="97" t="n"/>
      <c r="J57" s="97" t="n"/>
      <c r="K57" s="97" t="n"/>
      <c r="L57" s="97" t="n"/>
      <c r="M57" s="97" t="n"/>
      <c r="N57" s="97" t="n"/>
    </row>
    <row r="58" ht="16.25" customHeight="1" s="95">
      <c r="A58" s="113" t="n"/>
      <c r="D58" s="131" t="n"/>
      <c r="E58" s="131" t="n"/>
      <c r="F58" s="131" t="n"/>
      <c r="G58" s="131" t="n"/>
      <c r="H58" s="97" t="n"/>
      <c r="I58" s="97" t="n"/>
      <c r="J58" s="97" t="n"/>
      <c r="K58" s="97" t="n"/>
      <c r="L58" s="97" t="n"/>
      <c r="M58" s="97" t="n"/>
      <c r="N58" s="97" t="n"/>
    </row>
    <row r="59" ht="17.45" customHeight="1" s="95">
      <c r="A59" s="132" t="inlineStr">
        <is>
          <t>▣ 3. 공종별 등급 선택</t>
        </is>
      </c>
      <c r="B59" s="105" t="n"/>
      <c r="C59" s="106" t="n"/>
      <c r="E59" s="94" t="inlineStr">
        <is>
          <t>■ 전체 일괄 등급 →</t>
        </is>
      </c>
      <c r="F59" s="94" t="inlineStr">
        <is>
          <t>고급</t>
        </is>
      </c>
      <c r="G59" s="94" t="inlineStr">
        <is>
          <t>← 가성비/표준/고급. 아래 개별 '기본'이면 이 등급 적용</t>
        </is>
      </c>
      <c r="H59" s="97" t="n"/>
      <c r="I59" s="97" t="n"/>
      <c r="J59" s="97" t="n"/>
      <c r="K59" s="97" t="n"/>
      <c r="L59" s="97" t="n"/>
      <c r="M59" s="97" t="n"/>
      <c r="N59" s="97" t="n"/>
    </row>
    <row r="60" ht="15.65" customHeight="1" s="95">
      <c r="A60" s="113" t="inlineStr">
        <is>
          <t>항목</t>
        </is>
      </c>
      <c r="B60" s="112" t="inlineStr">
        <is>
          <t>적용 등급(자동)</t>
        </is>
      </c>
      <c r="C60" s="111" t="inlineStr">
        <is>
          <t>주력 자재 (해당 등급의 대표)</t>
        </is>
      </c>
      <c r="D60" s="122" t="inlineStr">
        <is>
          <t>안내</t>
        </is>
      </c>
      <c r="E60" s="122" t="inlineStr">
        <is>
          <t>개별 선택</t>
        </is>
      </c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</row>
    <row r="61" ht="15" customHeight="1" s="95">
      <c r="A61" s="113" t="inlineStr">
        <is>
          <t>철거공사</t>
        </is>
      </c>
      <c r="B61" s="93">
        <f>IF(E61="기본",$F$59,E61)</f>
        <v/>
      </c>
      <c r="C61" s="92">
        <f>IFERROR((INDEX(자재마스터!$F:$F, MATCH("철거|"&amp;B61,자재마스터!$AA:$AA,0)) &amp; " " &amp; INDEX(자재마스터!$G:$G, MATCH("철거|"&amp;B61,자재마스터!$AA:$AA,0))),"매칭없음")</f>
        <v/>
      </c>
      <c r="E61" s="94" t="inlineStr">
        <is>
          <t>기본</t>
        </is>
      </c>
      <c r="H61" s="97" t="n"/>
      <c r="I61" s="97" t="n"/>
      <c r="J61" s="97" t="n"/>
      <c r="K61" s="97" t="n"/>
      <c r="L61" s="97" t="n"/>
      <c r="M61" s="97" t="n"/>
      <c r="N61" s="97" t="n"/>
    </row>
    <row r="62" ht="15.65" customHeight="1" s="95">
      <c r="A62" s="113" t="inlineStr">
        <is>
          <t>단열공사</t>
        </is>
      </c>
      <c r="B62" s="114">
        <f>IF(E62="기본",$F$59,E62)</f>
        <v/>
      </c>
      <c r="C62" s="111">
        <f>IFERROR((INDEX(자재마스터!$F:$F, MATCH("insulation|"&amp;B62,자재마스터!$Z:$Z,0)) &amp; " " &amp; INDEX(자재마스터!$G:$G, MATCH("insulation|"&amp;B62,자재마스터!$Z:$Z,0))),"매칭없음")</f>
        <v/>
      </c>
      <c r="D62" s="122" t="n"/>
      <c r="E62" s="122" t="inlineStr">
        <is>
          <t>기본</t>
        </is>
      </c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</row>
    <row r="63" ht="15.65" customHeight="1" s="95">
      <c r="A63" s="113" t="inlineStr">
        <is>
          <t>난방온도조절기</t>
        </is>
      </c>
      <c r="B63" s="114">
        <f>IF(E63="기본",$F$59,E63)</f>
        <v/>
      </c>
      <c r="C63" s="113">
        <f>IFERROR((INDEX(자재마스터!$F:$F, MATCH("thermostat|"&amp;B63,자재마스터!$Z:$Z,0)) &amp; " " &amp; INDEX(자재마스터!$G:$G, MATCH("thermostat|"&amp;B63,자재마스터!$Z:$Z,0))),"매칭없음")</f>
        <v/>
      </c>
      <c r="D63" s="122" t="n"/>
      <c r="E63" s="122" t="inlineStr">
        <is>
          <t>기본</t>
        </is>
      </c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</row>
    <row r="64" ht="15.65" customHeight="1" s="95">
      <c r="A64" s="113" t="inlineStr">
        <is>
          <t>바닥재</t>
        </is>
      </c>
      <c r="B64" s="114">
        <f>IF(E64="기본",$F$59,E64)</f>
        <v/>
      </c>
      <c r="C64" s="113">
        <f>IFERROR((INDEX(자재마스터!$F:$F, MATCH("flooring|"&amp;B64,자재마스터!$Z:$Z,0)) &amp; " " &amp; INDEX(자재마스터!$G:$G, MATCH("flooring|"&amp;B64,자재마스터!$Z:$Z,0))),"매칭없음")</f>
        <v/>
      </c>
      <c r="D64" s="114" t="n"/>
      <c r="E64" s="122" t="inlineStr">
        <is>
          <t>기본</t>
        </is>
      </c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</row>
    <row r="65" ht="15.65" customHeight="1" s="95">
      <c r="A65" s="113" t="inlineStr">
        <is>
          <t>도배</t>
        </is>
      </c>
      <c r="B65" s="114">
        <f>IF(E65="기본",$F$59,E65)</f>
        <v/>
      </c>
      <c r="C65" s="113">
        <f>IFERROR((INDEX(자재마스터!$F:$F, MATCH("wallpaper|"&amp;B65,자재마스터!$Z:$Z,0)) &amp; " " &amp; INDEX(자재마스터!$G:$G, MATCH("wallpaper|"&amp;B65,자재마스터!$Z:$Z,0))),"매칭없음")</f>
        <v/>
      </c>
      <c r="D65" s="112" t="n"/>
      <c r="E65" s="122" t="inlineStr">
        <is>
          <t>기본</t>
        </is>
      </c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</row>
    <row r="66" ht="15" customHeight="1" s="95">
      <c r="A66" s="113" t="inlineStr">
        <is>
          <t>몰딩</t>
        </is>
      </c>
      <c r="B66" s="114">
        <f>IF(E66="기본",$F$59,E66)</f>
        <v/>
      </c>
      <c r="C66" s="113">
        <f>IFERROR((INDEX(자재마스터!$F:$F, MATCH("molding|"&amp;B66,자재마스터!$Z:$Z,0)) &amp; " " &amp; INDEX(자재마스터!$G:$G, MATCH("molding|"&amp;B66,자재마스터!$Z:$Z,0))),"매칭없음")</f>
        <v/>
      </c>
      <c r="D66" s="119" t="n"/>
      <c r="E66" s="97" t="inlineStr">
        <is>
          <t>기본</t>
        </is>
      </c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</row>
    <row r="67" ht="15" customHeight="1" s="95">
      <c r="A67" s="113" t="inlineStr">
        <is>
          <t>공용욕실 기본등급</t>
        </is>
      </c>
      <c r="B67" s="118">
        <f>B84</f>
        <v/>
      </c>
      <c r="C67" s="117" t="inlineStr">
        <is>
          <t>— B57 (공용욕실 종합 등급) 자동 동기화</t>
        </is>
      </c>
      <c r="D67" s="119" t="n"/>
      <c r="H67" s="97" t="n"/>
      <c r="I67" s="97" t="n"/>
      <c r="J67" s="97" t="n"/>
      <c r="K67" s="97" t="n"/>
      <c r="L67" s="97" t="n"/>
      <c r="M67" s="97" t="n"/>
      <c r="N67" s="97" t="n"/>
    </row>
    <row r="68" ht="15" customHeight="1" s="95">
      <c r="A68" s="113" t="inlineStr">
        <is>
          <t>부부욕실 기본등급</t>
        </is>
      </c>
      <c r="B68" s="114">
        <f>B98</f>
        <v/>
      </c>
      <c r="C68" s="113" t="inlineStr">
        <is>
          <t>— B71 (부부욕실 종합 등급) 자동 동기화</t>
        </is>
      </c>
      <c r="D68" s="119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</row>
    <row r="69" ht="15" customHeight="1" s="95">
      <c r="A69" s="113" t="inlineStr">
        <is>
          <t>주방가구</t>
        </is>
      </c>
      <c r="B69" s="114">
        <f>IF(E69="기본",$F$59,E69)</f>
        <v/>
      </c>
      <c r="C69" s="113" t="inlineStr">
        <is>
          <t>— 주방 7컴포넌트 — 주방설정 자동</t>
        </is>
      </c>
      <c r="D69" s="119" t="n"/>
      <c r="E69" s="97" t="inlineStr">
        <is>
          <t>기본</t>
        </is>
      </c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</row>
    <row r="70" ht="15" customHeight="1" s="95">
      <c r="A70" s="113" t="inlineStr">
        <is>
          <t>중문</t>
        </is>
      </c>
      <c r="B70" s="114">
        <f>IF(E70="기본",$F$59,E70)</f>
        <v/>
      </c>
      <c r="C70" s="113">
        <f>IFERROR((INDEX(자재마스터!$F:$F, MATCH("sliding_door|"&amp;B70,자재마스터!$Z:$Z,0)) &amp; " " &amp; INDEX(자재마스터!$G:$G, MATCH("sliding_door|"&amp;B70,자재마스터!$Z:$Z,0))),"매칭없음")</f>
        <v/>
      </c>
      <c r="D70" s="119" t="n"/>
      <c r="E70" s="97" t="inlineStr">
        <is>
          <t>기본</t>
        </is>
      </c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</row>
    <row r="71" ht="15" customHeight="1" s="95">
      <c r="A71" s="113" t="inlineStr">
        <is>
          <t>일반가구(현관)</t>
        </is>
      </c>
      <c r="B71" s="114">
        <f>IF(E71="기본",$F$59,E71)</f>
        <v/>
      </c>
      <c r="C71" s="113">
        <f>IFERROR((INDEX(자재마스터!$F:$F, MATCH("general_furniture|"&amp;B71,자재마스터!$Z:$Z,0)) &amp; " " &amp; INDEX(자재마스터!$G:$G, MATCH("general_furniture|"&amp;B71,자재마스터!$Z:$Z,0))),"매칭없음")</f>
        <v/>
      </c>
      <c r="D71" s="119" t="n"/>
      <c r="E71" s="97" t="inlineStr">
        <is>
          <t>기본</t>
        </is>
      </c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</row>
    <row r="72" ht="15" customHeight="1" s="95">
      <c r="A72" s="113" t="inlineStr">
        <is>
          <t>조명</t>
        </is>
      </c>
      <c r="B72" s="114">
        <f>IF(E72="기본",$F$59,E72)</f>
        <v/>
      </c>
      <c r="C72" s="113">
        <f>IFERROR((INDEX(자재마스터!$F:$F, MATCH("lighting_downlight|"&amp;B72,자재마스터!$Z:$Z,0)) &amp; " " &amp; INDEX(자재마스터!$G:$G, MATCH("lighting_downlight|"&amp;B72,자재마스터!$Z:$Z,0))),"매칭없음")</f>
        <v/>
      </c>
      <c r="D72" s="119" t="inlineStr">
        <is>
          <t>조명 대표 (다운라이트)</t>
        </is>
      </c>
      <c r="E72" s="97" t="inlineStr">
        <is>
          <t>기본</t>
        </is>
      </c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</row>
    <row r="73" ht="15" customHeight="1" s="95">
      <c r="A73" s="113" t="inlineStr">
        <is>
          <t>샷시</t>
        </is>
      </c>
      <c r="B73" s="114">
        <f>IF(E73="기본",$F$59,E73)</f>
        <v/>
      </c>
      <c r="C73" s="113">
        <f>IFERROR((INDEX(자재마스터!$F:$F, MATCH("window|"&amp;B73,자재마스터!$Z:$Z,0)) &amp; " " &amp; INDEX(자재마스터!$G:$G, MATCH("window|"&amp;B73,자재마스터!$Z:$Z,0))),"매칭없음")</f>
        <v/>
      </c>
      <c r="D73" s="119" t="n"/>
      <c r="E73" s="97" t="inlineStr">
        <is>
          <t>기본</t>
        </is>
      </c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</row>
    <row r="74" ht="15" customHeight="1" s="95">
      <c r="A74" s="113" t="inlineStr">
        <is>
          <t>시스템에어컨</t>
        </is>
      </c>
      <c r="B74" s="118">
        <f>IF(E74="기본",$F$59,E74)</f>
        <v/>
      </c>
      <c r="C74" s="117">
        <f>IFERROR((INDEX(자재마스터!$F:$F, MATCH("aircon|"&amp;B74,자재마스터!$Z:$Z,0)) &amp; " " &amp; INDEX(자재마스터!$G:$G, MATCH("aircon|"&amp;B74,자재마스터!$Z:$Z,0))),"매칭없음")</f>
        <v/>
      </c>
      <c r="D74" s="119" t="n"/>
      <c r="E74" s="94" t="inlineStr">
        <is>
          <t>기본</t>
        </is>
      </c>
      <c r="H74" s="97" t="n"/>
      <c r="I74" s="97" t="n"/>
      <c r="J74" s="97" t="n"/>
      <c r="K74" s="97" t="n"/>
      <c r="L74" s="97" t="n"/>
      <c r="M74" s="97" t="n"/>
      <c r="N74" s="97" t="n"/>
    </row>
    <row r="75" ht="15" customHeight="1" s="95">
      <c r="A75" s="113" t="inlineStr">
        <is>
          <t>붙박이장</t>
        </is>
      </c>
      <c r="B75" s="114">
        <f>IF(E75="기본",$F$59,E75)</f>
        <v/>
      </c>
      <c r="C75" s="113">
        <f>IFERROR((INDEX(자재마스터!$F:$F, MATCH("closet|"&amp;B75,자재마스터!$Z:$Z,0)) &amp; " " &amp; INDEX(자재마스터!$G:$G, MATCH("closet|"&amp;B75,자재마스터!$Z:$Z,0))),"매칭없음")</f>
        <v/>
      </c>
      <c r="D75" s="119" t="n"/>
      <c r="E75" s="97" t="inlineStr">
        <is>
          <t>기본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</row>
    <row r="76" ht="15" customHeight="1" s="95">
      <c r="A76" s="133" t="inlineStr">
        <is>
          <t>실링팬</t>
        </is>
      </c>
      <c r="B76" s="114">
        <f>IF(E76="기본",$F$59,E76)</f>
        <v/>
      </c>
      <c r="C76" s="111">
        <f>IFERROR((INDEX(자재마스터!$F:$F, MATCH("ceiling_fan|"&amp;B76,자재마스터!$Z:$Z,0)) &amp; " " &amp; INDEX(자재마스터!$G:$G, MATCH("ceiling_fan|"&amp;B76,자재마스터!$Z:$Z,0))),"매칭없음")</f>
        <v/>
      </c>
      <c r="D76" s="101" t="n"/>
      <c r="E76" s="97" t="inlineStr">
        <is>
          <t>기본</t>
        </is>
      </c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</row>
    <row r="77" ht="15" customHeight="1" s="95">
      <c r="A77" s="113" t="inlineStr">
        <is>
          <t>목공사</t>
        </is>
      </c>
      <c r="B77" s="114">
        <f>IF(E77="기본",$F$59,E77)</f>
        <v/>
      </c>
      <c r="C77" s="111">
        <f>IFERROR((INDEX(자재마스터!$F:$F, MATCH("carpentry_base|"&amp;B77,자재마스터!$Z:$Z,0)) &amp; " " &amp; INDEX(자재마스터!$G:$G, MATCH("carpentry_base|"&amp;B77,자재마스터!$Z:$Z,0))),"매칭없음")</f>
        <v/>
      </c>
      <c r="D77" s="101" t="n"/>
      <c r="E77" s="97" t="inlineStr">
        <is>
          <t>기본</t>
        </is>
      </c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</row>
    <row r="78" ht="15" customHeight="1" s="95">
      <c r="A78" s="113" t="inlineStr">
        <is>
          <t>전기 스위치</t>
        </is>
      </c>
      <c r="B78" s="114">
        <f>IF(E78="기본",$F$59,E78)</f>
        <v/>
      </c>
      <c r="C78" s="113">
        <f>IFERROR((INDEX(자재마스터!$F:$F, MATCH("electrical_switch|"&amp;B78,자재마스터!$Z:$Z,0)) &amp; " " &amp; INDEX(자재마스터!$G:$G, MATCH("electrical_switch|"&amp;B78,자재마스터!$Z:$Z,0))),"매칭없음")</f>
        <v/>
      </c>
      <c r="D78" s="118" t="n"/>
      <c r="E78" s="97" t="inlineStr">
        <is>
          <t>기본</t>
        </is>
      </c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</row>
    <row r="79" ht="15" customHeight="1" s="95">
      <c r="A79" s="113" t="inlineStr">
        <is>
          <t>확장공사</t>
        </is>
      </c>
      <c r="B79" s="114">
        <f>IF(E79="기본",$F$59,E79)</f>
        <v/>
      </c>
      <c r="C79" s="113">
        <f>IFERROR((INDEX(자재마스터!$F:$F, MATCH("expansion|"&amp;B79,자재마스터!$Z:$Z,0)) &amp; " " &amp; INDEX(자재마스터!$G:$G, MATCH("expansion|"&amp;B79,자재마스터!$Z:$Z,0))),"매칭없음")</f>
        <v/>
      </c>
      <c r="D79" s="119" t="n"/>
      <c r="E79" s="97" t="inlineStr">
        <is>
          <t>기본</t>
        </is>
      </c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</row>
    <row r="80" ht="15" customHeight="1" s="95">
      <c r="A80" s="113" t="inlineStr">
        <is>
          <t>걸레받이</t>
        </is>
      </c>
      <c r="B80" s="114">
        <f>IF(E80="기본",$F$59,E80)</f>
        <v/>
      </c>
      <c r="C80" s="113">
        <f>IFERROR((INDEX(자재마스터!$F:$F, MATCH("baseboard|"&amp;B80,자재마스터!$Z:$Z,0)) &amp; " " &amp; INDEX(자재마스터!$G:$G, MATCH("baseboard|"&amp;B80,자재마스터!$Z:$Z,0))),"매칭없음")</f>
        <v/>
      </c>
      <c r="D80" s="119" t="n"/>
      <c r="E80" s="97" t="inlineStr">
        <is>
          <t>기본</t>
        </is>
      </c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</row>
    <row r="81" ht="15.65" customHeight="1" s="95">
      <c r="A81" s="113" t="inlineStr">
        <is>
          <t>실리콘 공사</t>
        </is>
      </c>
      <c r="B81" s="114">
        <f>IF(E81="기본",$F$59,E81)</f>
        <v/>
      </c>
      <c r="C81" s="113">
        <f>IFERROR((INDEX(자재마스터!$F:$F, MATCH("silicon_material|"&amp;B81,자재마스터!$Z:$Z,0)) &amp; " " &amp; INDEX(자재마스터!$G:$G, MATCH("silicon_material|"&amp;B81,자재마스터!$Z:$Z,0))),"매칭없음")</f>
        <v/>
      </c>
      <c r="D81" s="112" t="inlineStr">
        <is>
          <t>부위별 분리: 욕실주방(바이오) + 외기(변성). 도배보조용 수성실리콘은 도배 공종에 포함되어 제외. 자재량 실수요 50% 적용. 가성비·표준=영진 / 고급=수입.</t>
        </is>
      </c>
      <c r="E81" s="122" t="inlineStr">
        <is>
          <t>기본</t>
        </is>
      </c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</row>
    <row r="82" ht="16.15" customHeight="1" s="95">
      <c r="A82" s="134" t="n"/>
      <c r="H82" s="97" t="n"/>
      <c r="I82" s="97" t="n"/>
      <c r="J82" s="97" t="n"/>
      <c r="K82" s="97" t="n"/>
      <c r="L82" s="97" t="n"/>
      <c r="M82" s="97" t="n"/>
      <c r="N82" s="97" t="n"/>
    </row>
    <row r="83" ht="17.45" customHeight="1" s="95">
      <c r="A83" s="135" t="inlineStr">
        <is>
          <t>▣ 4. 욕실 컴포넌트별 등급</t>
        </is>
      </c>
      <c r="B83" s="105" t="n"/>
      <c r="C83" s="105" t="n"/>
      <c r="D83" s="105" t="n"/>
      <c r="E83" s="105" t="n"/>
      <c r="F83" s="105" t="n"/>
      <c r="G83" s="106" t="n"/>
      <c r="H83" s="97" t="n"/>
      <c r="I83" s="97" t="n"/>
      <c r="J83" s="97" t="n"/>
      <c r="K83" s="97" t="n"/>
      <c r="L83" s="97" t="n"/>
      <c r="M83" s="97" t="n"/>
      <c r="N83" s="97" t="n"/>
    </row>
    <row r="84" ht="17.45" customHeight="1" s="95">
      <c r="A84" s="132" t="inlineStr">
        <is>
          <t>■ 공용욕실 종합 등급</t>
        </is>
      </c>
      <c r="B84" s="136" t="inlineStr">
        <is>
          <t>표준</t>
        </is>
      </c>
      <c r="C84" s="132" t="inlineStr">
        <is>
          <t>가성비 / 표준 / 고급 — 아래 컴포넌트가 '기본'이면 이 등급을 따름</t>
        </is>
      </c>
      <c r="D84" s="137" t="n"/>
      <c r="E84" s="122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</row>
    <row r="85" ht="15" customHeight="1" s="95">
      <c r="A85" s="138" t="inlineStr">
        <is>
          <t>공용욕실 타입</t>
        </is>
      </c>
      <c r="B85" s="139" t="inlineStr">
        <is>
          <t>욕조타입</t>
        </is>
      </c>
      <c r="C85" s="138" t="inlineStr">
        <is>
          <t>욕조타입 / 샤워부스타입 / 양변기·세면대만</t>
        </is>
      </c>
      <c r="D85" s="139" t="n"/>
      <c r="E85" s="122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</row>
    <row r="86" ht="15" customHeight="1" s="95">
      <c r="A86" s="113" t="inlineStr">
        <is>
          <t>컴포넌트</t>
        </is>
      </c>
      <c r="B86" s="114" t="inlineStr">
        <is>
          <t>등급</t>
        </is>
      </c>
      <c r="C86" s="113" t="inlineStr">
        <is>
          <t>적용</t>
        </is>
      </c>
      <c r="D86" s="114" t="inlineStr">
        <is>
          <t>주력 자재</t>
        </is>
      </c>
      <c r="E86" s="114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</row>
    <row r="87" ht="15" customHeight="1" s="95">
      <c r="A87" s="113" t="inlineStr">
        <is>
          <t xml:space="preserve">   └ 젠다이</t>
        </is>
      </c>
      <c r="B87" s="118" t="inlineStr">
        <is>
          <t>기본</t>
        </is>
      </c>
      <c r="C87" s="117" t="inlineStr">
        <is>
          <t>Y</t>
        </is>
      </c>
      <c r="D87" s="118">
        <f>IFERROR((INDEX(자재마스터!$F:$F, MATCH("bath_jendai|"&amp;IF(B87="기본",$B$84,B87),자재마스터!$Z:$Z,0)) &amp; " " &amp; INDEX(자재마스터!$G:$G, MATCH("bath_jendai|"&amp;IF(B87="기본",$B$84,B87),자재마스터!$Z:$Z,0))),"매칭없음")</f>
        <v/>
      </c>
      <c r="E87" s="118" t="n"/>
      <c r="H87" s="97" t="n"/>
      <c r="I87" s="97" t="n"/>
      <c r="J87" s="97" t="n"/>
      <c r="K87" s="97" t="n"/>
      <c r="L87" s="97" t="n"/>
      <c r="M87" s="97" t="n"/>
      <c r="N87" s="97" t="n"/>
    </row>
    <row r="88" ht="15" customHeight="1" s="95">
      <c r="A88" s="113" t="inlineStr">
        <is>
          <t xml:space="preserve">   └ 방수</t>
        </is>
      </c>
      <c r="B88" s="118" t="inlineStr">
        <is>
          <t>기본</t>
        </is>
      </c>
      <c r="C88" s="117" t="inlineStr">
        <is>
          <t>Y</t>
        </is>
      </c>
      <c r="D88" s="118">
        <f>IFERROR((INDEX(자재마스터!$F:$F, MATCH("bath_waterproof|"&amp;IF(B88="기본",$B$84,B88),자재마스터!$Z:$Z,0)) &amp; " " &amp; INDEX(자재마스터!$G:$G, MATCH("bath_waterproof|"&amp;IF(B88="기본",$B$84,B88),자재마스터!$Z:$Z,0))),"매칭없음")</f>
        <v/>
      </c>
      <c r="E88" s="118" t="n"/>
      <c r="H88" s="97" t="n"/>
      <c r="I88" s="97" t="n"/>
      <c r="J88" s="97" t="n"/>
      <c r="K88" s="97" t="n"/>
      <c r="L88" s="97" t="n"/>
      <c r="M88" s="97" t="n"/>
      <c r="N88" s="97" t="n"/>
    </row>
    <row r="89" ht="15" customHeight="1" s="95">
      <c r="A89" s="113" t="inlineStr">
        <is>
          <t xml:space="preserve">   └ 타일자재</t>
        </is>
      </c>
      <c r="B89" s="118" t="inlineStr">
        <is>
          <t>기본</t>
        </is>
      </c>
      <c r="C89" s="117" t="inlineStr">
        <is>
          <t>Y</t>
        </is>
      </c>
      <c r="D89" s="118">
        <f>IFERROR((INDEX(자재마스터!$F:$F, MATCH("bath_tile|"&amp;IF(B89="기본",$B$84,B89),자재마스터!$Z:$Z,0)) &amp; " " &amp; INDEX(자재마스터!$G:$G, MATCH("bath_tile|"&amp;IF(B89="기본",$B$84,B89),자재마스터!$Z:$Z,0))),"매칭없음")</f>
        <v/>
      </c>
      <c r="E89" s="118" t="n"/>
      <c r="H89" s="97" t="n"/>
      <c r="I89" s="97" t="n"/>
      <c r="J89" s="97" t="n"/>
      <c r="K89" s="97" t="n"/>
      <c r="L89" s="97" t="n"/>
      <c r="M89" s="97" t="n"/>
      <c r="N89" s="97" t="n"/>
    </row>
    <row r="90" ht="15" customHeight="1" s="95">
      <c r="A90" s="113" t="inlineStr">
        <is>
          <t xml:space="preserve">   └ 타일시공</t>
        </is>
      </c>
      <c r="B90" s="118" t="inlineStr">
        <is>
          <t>기본</t>
        </is>
      </c>
      <c r="C90" s="117" t="inlineStr">
        <is>
          <t>Y</t>
        </is>
      </c>
      <c r="D90" s="118">
        <f>IFERROR((INDEX(자재마스터!$F:$F, MATCH("bath_tile_method|"&amp;IF(B90="기본",$B$84,B90),자재마스터!$Z:$Z,0)) &amp; " " &amp; INDEX(자재마스터!$G:$G, MATCH("bath_tile_method|"&amp;IF(B90="기본",$B$84,B90),자재마스터!$Z:$Z,0))),"매칭없음")</f>
        <v/>
      </c>
      <c r="E90" s="118" t="n"/>
      <c r="H90" s="97" t="n"/>
      <c r="I90" s="97" t="n"/>
      <c r="J90" s="97" t="n"/>
      <c r="K90" s="97" t="n"/>
      <c r="L90" s="97" t="n"/>
      <c r="M90" s="97" t="n"/>
      <c r="N90" s="97" t="n"/>
    </row>
    <row r="91" ht="15" customHeight="1" s="95">
      <c r="A91" s="113" t="inlineStr">
        <is>
          <t xml:space="preserve">   └ 파티션</t>
        </is>
      </c>
      <c r="B91" s="118" t="inlineStr">
        <is>
          <t>기본</t>
        </is>
      </c>
      <c r="C91" s="117" t="inlineStr">
        <is>
          <t>N</t>
        </is>
      </c>
      <c r="D91" s="118">
        <f>IFERROR((INDEX(자재마스터!$F:$F, MATCH("bath_partition|"&amp;IF(B91="기본",$B$84,B91),자재마스터!$Z:$Z,0)) &amp; " " &amp; INDEX(자재마스터!$G:$G, MATCH("bath_partition|"&amp;IF(B91="기본",$B$84,B91),자재마스터!$Z:$Z,0))),"매칭없음")</f>
        <v/>
      </c>
      <c r="E91" s="118" t="n"/>
      <c r="H91" s="97" t="n"/>
      <c r="I91" s="97" t="n"/>
      <c r="J91" s="97" t="n"/>
      <c r="K91" s="97" t="n"/>
      <c r="L91" s="97" t="n"/>
      <c r="M91" s="97" t="n"/>
      <c r="N91" s="97" t="n"/>
    </row>
    <row r="92" ht="15" customHeight="1" s="95">
      <c r="A92" s="113" t="inlineStr">
        <is>
          <t xml:space="preserve">   └ 천정</t>
        </is>
      </c>
      <c r="B92" s="114" t="inlineStr">
        <is>
          <t>기본</t>
        </is>
      </c>
      <c r="C92" s="113" t="inlineStr">
        <is>
          <t>Y</t>
        </is>
      </c>
      <c r="D92" s="114">
        <f>IFERROR((INDEX(자재마스터!$F:$F, MATCH("bath_ceiling|"&amp;IF(B92="기본",$B$84,B92),자재마스터!$Z:$Z,0)) &amp; " " &amp; INDEX(자재마스터!$G:$G, MATCH("bath_ceiling|"&amp;IF(B92="기본",$B$84,B92),자재마스터!$Z:$Z,0))),"매칭없음")</f>
        <v/>
      </c>
      <c r="E92" s="114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</row>
    <row r="93" ht="15" customHeight="1" s="95">
      <c r="A93" s="113" t="inlineStr">
        <is>
          <t xml:space="preserve">   └ 세면대</t>
        </is>
      </c>
      <c r="B93" s="114" t="inlineStr">
        <is>
          <t>기본</t>
        </is>
      </c>
      <c r="C93" s="113" t="inlineStr">
        <is>
          <t>Y</t>
        </is>
      </c>
      <c r="D93" s="114">
        <f>IFERROR((INDEX(자재마스터!$F:$F, MATCH("bath_basin|"&amp;IF(B93="기본",$B$84,B93),자재마스터!$Z:$Z,0)) &amp; " " &amp; INDEX(자재마스터!$G:$G, MATCH("bath_basin|"&amp;IF(B93="기본",$B$84,B93),자재마스터!$Z:$Z,0))),"매칭없음")</f>
        <v/>
      </c>
      <c r="E93" s="118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</row>
    <row r="94" ht="15" customHeight="1" s="95">
      <c r="A94" s="113" t="inlineStr">
        <is>
          <t xml:space="preserve">   └ 수전</t>
        </is>
      </c>
      <c r="B94" s="114" t="inlineStr">
        <is>
          <t>기본</t>
        </is>
      </c>
      <c r="C94" s="113" t="inlineStr">
        <is>
          <t>Y</t>
        </is>
      </c>
      <c r="D94" s="114">
        <f>IFERROR((INDEX(자재마스터!$F:$F, MATCH("bath_faucet|"&amp;IF(B94="기본",$B$84,B94),자재마스터!$Z:$Z,0)) &amp; " " &amp; INDEX(자재마스터!$G:$G, MATCH("bath_faucet|"&amp;IF(B94="기본",$B$84,B94),자재마스터!$Z:$Z,0))),"매칭없음")</f>
        <v/>
      </c>
      <c r="E94" s="118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</row>
    <row r="95" ht="15" customHeight="1" s="95">
      <c r="A95" s="113" t="inlineStr">
        <is>
          <t xml:space="preserve">   └ 양변기</t>
        </is>
      </c>
      <c r="B95" s="114" t="inlineStr">
        <is>
          <t>기본</t>
        </is>
      </c>
      <c r="C95" s="113" t="inlineStr">
        <is>
          <t>Y</t>
        </is>
      </c>
      <c r="D95" s="114">
        <f>IFERROR((INDEX(자재마스터!$F:$F, MATCH("bath_toilet|"&amp;IF(B95="기본",$B$84,B95),자재마스터!$Z:$Z,0)) &amp; " " &amp; INDEX(자재마스터!$G:$G, MATCH("bath_toilet|"&amp;IF(B95="기본",$B$84,B95),자재마스터!$Z:$Z,0))),"매칭없음")</f>
        <v/>
      </c>
      <c r="E95" s="118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</row>
    <row r="96" ht="15" customHeight="1" s="95">
      <c r="A96" s="113" t="inlineStr">
        <is>
          <t xml:space="preserve">   └ 악세사리</t>
        </is>
      </c>
      <c r="B96" s="114" t="inlineStr">
        <is>
          <t>기본</t>
        </is>
      </c>
      <c r="C96" s="113" t="inlineStr">
        <is>
          <t>Y</t>
        </is>
      </c>
      <c r="D96" s="114">
        <f>IFERROR((INDEX(자재마스터!$F:$F, MATCH("bath_accessory|"&amp;IF(B96="기본",$B$84,B96),자재마스터!$Z:$Z,0)) &amp; " " &amp; INDEX(자재마스터!$G:$G, MATCH("bath_accessory|"&amp;IF(B96="기본",$B$84,B96),자재마스터!$Z:$Z,0))),"매칭없음")</f>
        <v/>
      </c>
      <c r="E96" s="118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</row>
    <row r="97" ht="15.05" customHeight="1" s="95">
      <c r="A97" s="113" t="inlineStr">
        <is>
          <t xml:space="preserve">   └ 줄눈</t>
        </is>
      </c>
      <c r="B97" s="114" t="inlineStr">
        <is>
          <t>기본</t>
        </is>
      </c>
      <c r="C97" s="113" t="inlineStr">
        <is>
          <t>Y</t>
        </is>
      </c>
      <c r="D97" s="114">
        <f>IFERROR((INDEX(자재마스터!$F:$F, MATCH("bath_grout|"&amp;IF(B97="기본",$B$84,B97),자재마스터!$Z:$Z,0)) &amp; " " &amp; INDEX(자재마스터!$G:$G, MATCH("bath_grout|"&amp;IF(B97="기본",$B$84,B97),자재마스터!$Z:$Z,0))),"매칭없음")</f>
        <v/>
      </c>
      <c r="E97" s="118" t="n"/>
      <c r="F97" s="118" t="n"/>
      <c r="G97" s="118" t="n"/>
      <c r="H97" s="97" t="n"/>
      <c r="I97" s="97" t="n"/>
      <c r="J97" s="97" t="n"/>
      <c r="K97" s="97" t="n"/>
      <c r="L97" s="97" t="n"/>
      <c r="M97" s="97" t="n"/>
      <c r="N97" s="97" t="n"/>
    </row>
    <row r="98" ht="17.45" customHeight="1" s="95">
      <c r="A98" s="132" t="inlineStr">
        <is>
          <t>■ 부부욕실 종합 등급</t>
        </is>
      </c>
      <c r="B98" s="136" t="inlineStr">
        <is>
          <t>표준</t>
        </is>
      </c>
      <c r="C98" s="132" t="inlineStr">
        <is>
          <t>가성비 / 표준 / 고급 — 아래 컴포넌트가 '기본'이면 이 등급을 따름</t>
        </is>
      </c>
      <c r="D98" s="140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</row>
    <row r="99" ht="15" customHeight="1" s="95">
      <c r="A99" s="138" t="inlineStr">
        <is>
          <t>부부욕실 타입</t>
        </is>
      </c>
      <c r="B99" s="139" t="inlineStr">
        <is>
          <t>샤워부스타입</t>
        </is>
      </c>
      <c r="C99" s="138" t="inlineStr">
        <is>
          <t>욕조타입 / 샤워부스타입 / 양변기·세면대만 (부부욕실 유무 1일 때 의미)</t>
        </is>
      </c>
      <c r="D99" s="139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</row>
    <row r="100" ht="15" customHeight="1" s="95">
      <c r="A100" s="113" t="inlineStr">
        <is>
          <t>컴포넌트</t>
        </is>
      </c>
      <c r="B100" s="114" t="inlineStr">
        <is>
          <t>등급</t>
        </is>
      </c>
      <c r="C100" s="113" t="inlineStr">
        <is>
          <t>적용</t>
        </is>
      </c>
      <c r="D100" s="114" t="inlineStr">
        <is>
          <t>주력 자재</t>
        </is>
      </c>
      <c r="E100" s="118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</row>
    <row r="101" ht="15" customHeight="1" s="95">
      <c r="A101" s="113" t="inlineStr">
        <is>
          <t xml:space="preserve">   └ 젠다이</t>
        </is>
      </c>
      <c r="B101" s="114" t="inlineStr">
        <is>
          <t>기본</t>
        </is>
      </c>
      <c r="C101" s="113" t="inlineStr">
        <is>
          <t>Y</t>
        </is>
      </c>
      <c r="D101" s="114">
        <f>IFERROR((INDEX(자재마스터!$F:$F, MATCH("bath_jendai|"&amp;IF(B101="기본",$B$98,B101),자재마스터!$Z:$Z,0)) &amp; " " &amp; INDEX(자재마스터!$G:$G, MATCH("bath_jendai|"&amp;IF(B101="기본",$B$98,B101),자재마스터!$Z:$Z,0))),"매칭없음")</f>
        <v/>
      </c>
      <c r="E101" s="118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</row>
    <row r="102" ht="15" customHeight="1" s="95">
      <c r="A102" s="113" t="inlineStr">
        <is>
          <t xml:space="preserve">   └ 방수</t>
        </is>
      </c>
      <c r="B102" s="114" t="inlineStr">
        <is>
          <t>기본</t>
        </is>
      </c>
      <c r="C102" s="113" t="inlineStr">
        <is>
          <t>Y</t>
        </is>
      </c>
      <c r="D102" s="114">
        <f>IFERROR((INDEX(자재마스터!$F:$F, MATCH("bath_waterproof|"&amp;IF(B102="기본",$B$98,B102),자재마스터!$Z:$Z,0)) &amp; " " &amp; INDEX(자재마스터!$G:$G, MATCH("bath_waterproof|"&amp;IF(B102="기본",$B$98,B102),자재마스터!$Z:$Z,0))),"매칭없음")</f>
        <v/>
      </c>
      <c r="E102" s="118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</row>
    <row r="103" ht="15" customHeight="1" s="95">
      <c r="A103" s="113" t="inlineStr">
        <is>
          <t xml:space="preserve">   └ 타일자재</t>
        </is>
      </c>
      <c r="B103" s="118" t="inlineStr">
        <is>
          <t>기본</t>
        </is>
      </c>
      <c r="C103" s="117" t="inlineStr">
        <is>
          <t>Y</t>
        </is>
      </c>
      <c r="D103" s="118">
        <f>IFERROR((INDEX(자재마스터!$F:$F, MATCH("bath_tile|"&amp;IF(B103="기본",$B$98,B103),자재마스터!$Z:$Z,0)) &amp; " " &amp; INDEX(자재마스터!$G:$G, MATCH("bath_tile|"&amp;IF(B103="기본",$B$98,B103),자재마스터!$Z:$Z,0))),"매칭없음")</f>
        <v/>
      </c>
      <c r="E103" s="118" t="n"/>
      <c r="H103" s="97" t="n"/>
      <c r="I103" s="97" t="n"/>
      <c r="J103" s="97" t="n"/>
      <c r="K103" s="97" t="n"/>
      <c r="L103" s="97" t="n"/>
      <c r="M103" s="97" t="n"/>
      <c r="N103" s="97" t="n"/>
    </row>
    <row r="104" ht="15" customHeight="1" s="95">
      <c r="A104" s="113" t="inlineStr">
        <is>
          <t xml:space="preserve">   └ 타일시공</t>
        </is>
      </c>
      <c r="B104" s="118" t="inlineStr">
        <is>
          <t>기본</t>
        </is>
      </c>
      <c r="C104" s="117" t="inlineStr">
        <is>
          <t>Y</t>
        </is>
      </c>
      <c r="D104" s="114">
        <f>IFERROR((INDEX(자재마스터!$F:$F, MATCH("bath_tile_method|"&amp;IF(B104="기본",$B$98,B104),자재마스터!$Z:$Z,0)) &amp; " " &amp; INDEX(자재마스터!$G:$G, MATCH("bath_tile_method|"&amp;IF(B104="기본",$B$98,B104),자재마스터!$Z:$Z,0))),"매칭없음")</f>
        <v/>
      </c>
      <c r="E104" s="118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</row>
    <row r="105" ht="15" customHeight="1" s="95">
      <c r="A105" s="113" t="inlineStr">
        <is>
          <t xml:space="preserve">   └ 파티션</t>
        </is>
      </c>
      <c r="B105" s="118" t="inlineStr">
        <is>
          <t>기본</t>
        </is>
      </c>
      <c r="C105" s="117" t="inlineStr">
        <is>
          <t>Y</t>
        </is>
      </c>
      <c r="D105" s="114">
        <f>IFERROR((INDEX(자재마스터!$F:$F, MATCH("bath_partition|"&amp;IF(B105="기본",$B$98,B105),자재마스터!$Z:$Z,0)) &amp; " " &amp; INDEX(자재마스터!$G:$G, MATCH("bath_partition|"&amp;IF(B105="기본",$B$98,B105),자재마스터!$Z:$Z,0))),"매칭없음")</f>
        <v/>
      </c>
      <c r="E105" s="114" t="n"/>
      <c r="F105" s="103" t="n"/>
      <c r="G105" s="103" t="n"/>
      <c r="H105" s="97" t="n"/>
      <c r="I105" s="97" t="n"/>
      <c r="J105" s="97" t="n"/>
      <c r="K105" s="97" t="n"/>
      <c r="L105" s="97" t="n"/>
      <c r="M105" s="97" t="n"/>
      <c r="N105" s="97" t="n"/>
    </row>
    <row r="106" ht="15" customHeight="1" s="95">
      <c r="A106" s="113" t="inlineStr">
        <is>
          <t xml:space="preserve">   └ 천정</t>
        </is>
      </c>
      <c r="B106" s="114" t="inlineStr">
        <is>
          <t>기본</t>
        </is>
      </c>
      <c r="C106" s="113" t="inlineStr">
        <is>
          <t>Y</t>
        </is>
      </c>
      <c r="D106" s="114">
        <f>IFERROR((INDEX(자재마스터!$F:$F, MATCH("bath_ceiling|"&amp;IF(B106="기본",$B$98,B106),자재마스터!$Z:$Z,0)) &amp; " " &amp; INDEX(자재마스터!$G:$G, MATCH("bath_ceiling|"&amp;IF(B106="기본",$B$98,B106),자재마스터!$Z:$Z,0))),"매칭없음")</f>
        <v/>
      </c>
      <c r="E106" s="114" t="n"/>
      <c r="F106" s="103" t="n"/>
      <c r="G106" s="103" t="n"/>
      <c r="H106" s="97" t="n"/>
      <c r="I106" s="97" t="n"/>
      <c r="J106" s="97" t="n"/>
      <c r="K106" s="97" t="n"/>
      <c r="L106" s="97" t="n"/>
      <c r="M106" s="97" t="n"/>
      <c r="N106" s="97" t="n"/>
    </row>
    <row r="107" ht="15" customHeight="1" s="95">
      <c r="A107" s="113" t="inlineStr">
        <is>
          <t xml:space="preserve">   └ 세면대</t>
        </is>
      </c>
      <c r="B107" s="118" t="inlineStr">
        <is>
          <t>기본</t>
        </is>
      </c>
      <c r="C107" s="117" t="inlineStr">
        <is>
          <t>Y</t>
        </is>
      </c>
      <c r="D107" s="118">
        <f>IFERROR((INDEX(자재마스터!$F:$F, MATCH("bath_basin|"&amp;IF(B107="기본",$B$98,B107),자재마스터!$Z:$Z,0)) &amp; " " &amp; INDEX(자재마스터!$G:$G, MATCH("bath_basin|"&amp;IF(B107="기본",$B$98,B107),자재마스터!$Z:$Z,0))),"매칭없음")</f>
        <v/>
      </c>
      <c r="E107" s="118" t="n"/>
      <c r="F107" s="118" t="n"/>
      <c r="G107" s="129" t="n"/>
      <c r="H107" s="97" t="n"/>
      <c r="I107" s="97" t="n"/>
      <c r="J107" s="97" t="n"/>
      <c r="K107" s="97" t="n"/>
      <c r="L107" s="97" t="n"/>
      <c r="M107" s="97" t="n"/>
      <c r="N107" s="97" t="n"/>
    </row>
    <row r="108" ht="15" customHeight="1" s="95">
      <c r="A108" s="113" t="inlineStr">
        <is>
          <t xml:space="preserve">   └ 수전</t>
        </is>
      </c>
      <c r="B108" s="114" t="inlineStr">
        <is>
          <t>기본</t>
        </is>
      </c>
      <c r="C108" s="113" t="inlineStr">
        <is>
          <t>Y</t>
        </is>
      </c>
      <c r="D108" s="114">
        <f>IFERROR((INDEX(자재마스터!$F:$F, MATCH("bath_faucet|"&amp;IF(B108="기본",$B$98,B108),자재마스터!$Z:$Z,0)) &amp; " " &amp; INDEX(자재마스터!$G:$G, MATCH("bath_faucet|"&amp;IF(B108="기본",$B$98,B108),자재마스터!$Z:$Z,0))),"매칭없음")</f>
        <v/>
      </c>
      <c r="E108" s="114" t="n"/>
      <c r="F108" s="103" t="n"/>
      <c r="G108" s="103" t="n"/>
      <c r="H108" s="97" t="n"/>
      <c r="I108" s="97" t="n"/>
      <c r="J108" s="97" t="n"/>
      <c r="K108" s="97" t="n"/>
      <c r="L108" s="97" t="n"/>
      <c r="M108" s="97" t="n"/>
      <c r="N108" s="97" t="n"/>
    </row>
    <row r="109" ht="15" customHeight="1" s="95">
      <c r="A109" s="113" t="inlineStr">
        <is>
          <t xml:space="preserve">   └ 양변기</t>
        </is>
      </c>
      <c r="B109" s="114" t="inlineStr">
        <is>
          <t>기본</t>
        </is>
      </c>
      <c r="C109" s="113" t="inlineStr">
        <is>
          <t>Y</t>
        </is>
      </c>
      <c r="D109" s="114">
        <f>IFERROR((INDEX(자재마스터!$F:$F, MATCH("bath_toilet|"&amp;IF(B109="기본",$B$98,B109),자재마스터!$Z:$Z,0)) &amp; " " &amp; INDEX(자재마스터!$G:$G, MATCH("bath_toilet|"&amp;IF(B109="기본",$B$98,B109),자재마스터!$Z:$Z,0))),"매칭없음")</f>
        <v/>
      </c>
      <c r="E109" s="114" t="n"/>
      <c r="F109" s="103" t="n"/>
      <c r="G109" s="103" t="n"/>
      <c r="H109" s="97" t="n"/>
      <c r="I109" s="97" t="n"/>
      <c r="J109" s="97" t="n"/>
      <c r="K109" s="97" t="n"/>
      <c r="L109" s="97" t="n"/>
      <c r="M109" s="97" t="n"/>
      <c r="N109" s="97" t="n"/>
    </row>
    <row r="110" ht="15" customHeight="1" s="95">
      <c r="A110" s="117" t="inlineStr">
        <is>
          <t xml:space="preserve">   └ 악세사리</t>
        </is>
      </c>
      <c r="B110" s="118" t="inlineStr">
        <is>
          <t>기본</t>
        </is>
      </c>
      <c r="C110" s="117" t="inlineStr">
        <is>
          <t>Y</t>
        </is>
      </c>
      <c r="D110" s="118">
        <f>IFERROR((INDEX(자재마스터!$F:$F, MATCH("bath_accessory|"&amp;IF(B110="기본",$B$98,B110),자재마스터!$Z:$Z,0)) &amp; " " &amp; INDEX(자재마스터!$G:$G, MATCH("bath_accessory|"&amp;IF(B110="기본",$B$98,B110),자재마스터!$Z:$Z,0))),"매칭없음")</f>
        <v/>
      </c>
      <c r="E110" s="118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</row>
    <row r="111" ht="15.65" customHeight="1" s="95">
      <c r="A111" s="117" t="inlineStr">
        <is>
          <t xml:space="preserve">   └ 줄눈</t>
        </is>
      </c>
      <c r="B111" s="119" t="inlineStr">
        <is>
          <t>기본</t>
        </is>
      </c>
      <c r="C111" s="129" t="inlineStr">
        <is>
          <t>Y</t>
        </is>
      </c>
      <c r="D111" s="101">
        <f>IFERROR((INDEX(자재마스터!$F:$F, MATCH("bath_grout|"&amp;IF(B111="기본",$B$98,B111),자재마스터!$Z:$Z,0)) &amp; " " &amp; INDEX(자재마스터!$G:$G, MATCH("bath_grout|"&amp;IF(B111="기본",$B$98,B111),자재마스터!$Z:$Z,0))),"매칭없음")</f>
        <v/>
      </c>
      <c r="E111" s="118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</row>
    <row r="112" ht="16.15" customHeight="1" s="95">
      <c r="A112" s="141" t="n"/>
      <c r="H112" s="97" t="n"/>
      <c r="I112" s="97" t="n"/>
      <c r="J112" s="97" t="n"/>
      <c r="K112" s="97" t="n"/>
      <c r="L112" s="97" t="n"/>
      <c r="M112" s="97" t="n"/>
      <c r="N112" s="97" t="n"/>
    </row>
    <row r="113" ht="17.45" customHeight="1" s="95">
      <c r="A113" s="142" t="inlineStr">
        <is>
          <t>▣ 5. 주방 컴포넌트별 등급</t>
        </is>
      </c>
      <c r="B113" s="105" t="n"/>
      <c r="C113" s="105" t="n"/>
      <c r="D113" s="105" t="n"/>
      <c r="E113" s="105" t="n"/>
      <c r="F113" s="105" t="n"/>
      <c r="G113" s="106" t="n"/>
      <c r="H113" s="97" t="n"/>
      <c r="I113" s="97" t="n"/>
      <c r="J113" s="97" t="n"/>
      <c r="K113" s="97" t="n"/>
      <c r="L113" s="97" t="n"/>
      <c r="M113" s="97" t="n"/>
      <c r="N113" s="97" t="n"/>
    </row>
    <row r="114" ht="15" customHeight="1" s="95">
      <c r="A114" s="113" t="inlineStr">
        <is>
          <t>주방 형태</t>
        </is>
      </c>
      <c r="B114" s="112" t="inlineStr">
        <is>
          <t>일자형</t>
        </is>
      </c>
      <c r="C114" s="111" t="inlineStr">
        <is>
          <t>"일자형" (1.0) / "대면형" (×1.6, ㄱ자·ㄷ자·아일랜드)</t>
        </is>
      </c>
      <c r="D114" s="102" t="n"/>
      <c r="E114" s="114" t="n"/>
      <c r="F114" s="103" t="n"/>
      <c r="G114" s="103" t="n"/>
      <c r="H114" s="97" t="n"/>
      <c r="I114" s="97" t="n"/>
      <c r="J114" s="97" t="n"/>
      <c r="K114" s="97" t="n"/>
      <c r="L114" s="97" t="n"/>
      <c r="M114" s="97" t="n"/>
      <c r="N114" s="97" t="n"/>
    </row>
    <row r="115" ht="49.5" customHeight="1" s="95">
      <c r="A115" s="117" t="inlineStr">
        <is>
          <t>주방 길이 입력</t>
        </is>
      </c>
      <c r="B115" s="118" t="inlineStr">
        <is>
          <t>평형별 기준</t>
        </is>
      </c>
      <c r="C115" s="129" t="inlineStr">
        <is>
          <t>"평형별 기준" 또는 m 단위 숫자</t>
        </is>
      </c>
      <c r="D115" s="101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</row>
    <row r="116" ht="15" customHeight="1" s="95">
      <c r="A116" s="117" t="inlineStr">
        <is>
          <t>주방 길이 자동 (계산)</t>
        </is>
      </c>
      <c r="B116" s="118">
        <f>IF(B115="평형별 기준",IF(B8&lt;25,3,IF(B8&lt;30,3.3,IF(B8&lt;40,3.6,IF(B8&lt;50,4.2,4.8)))),B115)*IF(B114="대면형",1.6,1)</f>
        <v/>
      </c>
      <c r="C116" s="129" t="inlineStr">
        <is>
          <t>평형별 기준 × 형태 보정</t>
        </is>
      </c>
    </row>
    <row r="117" ht="15" customHeight="1" s="95">
      <c r="A117" s="117" t="inlineStr">
        <is>
          <t>실측 주방 길이 (선택)</t>
        </is>
      </c>
      <c r="B117" s="119" t="n"/>
      <c r="C117" s="117" t="inlineStr">
        <is>
          <t>공사 후 알 경우만 입력 — 입력 시 자동 무시</t>
        </is>
      </c>
      <c r="E117" s="118" t="n"/>
    </row>
    <row r="118" ht="15" customHeight="1" s="95">
      <c r="A118" s="117" t="inlineStr">
        <is>
          <t>★ 최종 주방 길이 (실측 우선)</t>
        </is>
      </c>
      <c r="B118" s="119">
        <f>IF(ISNUMBER(B117),B117,B116)</f>
        <v/>
      </c>
      <c r="C118" s="129" t="inlineStr">
        <is>
          <t>실제 공사비 산정에 사용</t>
        </is>
      </c>
      <c r="E118" s="118" t="n"/>
    </row>
    <row r="119" ht="15" customHeight="1" s="95">
      <c r="A119" s="117" t="n"/>
      <c r="B119" s="119" t="n"/>
      <c r="C119" s="129" t="n"/>
      <c r="E119" s="118" t="n"/>
    </row>
    <row r="120" ht="15" customHeight="1" s="95">
      <c r="A120" s="117" t="inlineStr">
        <is>
          <t>컴포넌트</t>
        </is>
      </c>
      <c r="B120" s="119" t="inlineStr">
        <is>
          <t>등급</t>
        </is>
      </c>
      <c r="C120" s="129" t="inlineStr">
        <is>
          <t>적용</t>
        </is>
      </c>
      <c r="D120" s="118" t="n"/>
      <c r="E120" s="118" t="n"/>
    </row>
    <row r="121" ht="15" customHeight="1" s="95">
      <c r="A121" s="117" t="inlineStr">
        <is>
          <t>미드웨이</t>
        </is>
      </c>
      <c r="B121" s="119" t="inlineStr">
        <is>
          <t>가성비</t>
        </is>
      </c>
      <c r="C121" s="129" t="inlineStr">
        <is>
          <t>Y</t>
        </is>
      </c>
      <c r="E121" s="118" t="n"/>
    </row>
    <row r="122" ht="15" customHeight="1" s="95">
      <c r="A122" s="117" t="inlineStr">
        <is>
          <t>도어</t>
        </is>
      </c>
      <c r="B122" s="119" t="inlineStr">
        <is>
          <t>기본</t>
        </is>
      </c>
      <c r="C122" s="129" t="inlineStr">
        <is>
          <t>Y</t>
        </is>
      </c>
      <c r="E122" s="118" t="n"/>
    </row>
    <row r="123" ht="15" customHeight="1" s="95">
      <c r="A123" s="117" t="inlineStr">
        <is>
          <t>상판</t>
        </is>
      </c>
      <c r="B123" s="119" t="inlineStr">
        <is>
          <t>기본</t>
        </is>
      </c>
      <c r="C123" s="129" t="inlineStr">
        <is>
          <t>Y</t>
        </is>
      </c>
      <c r="E123" s="118" t="n"/>
    </row>
    <row r="124" ht="15" customHeight="1" s="95">
      <c r="A124" s="117" t="inlineStr">
        <is>
          <t>하드웨어</t>
        </is>
      </c>
      <c r="B124" s="119" t="inlineStr">
        <is>
          <t>기본</t>
        </is>
      </c>
      <c r="C124" s="129" t="inlineStr">
        <is>
          <t>Y</t>
        </is>
      </c>
      <c r="E124" s="118" t="n"/>
    </row>
    <row r="125" ht="15" customHeight="1" s="95">
      <c r="A125" s="117" t="inlineStr">
        <is>
          <t>후드</t>
        </is>
      </c>
      <c r="B125" s="119" t="inlineStr">
        <is>
          <t>기본</t>
        </is>
      </c>
      <c r="C125" s="129" t="inlineStr">
        <is>
          <t>Y</t>
        </is>
      </c>
      <c r="E125" s="118" t="n"/>
    </row>
    <row r="126" ht="15" customHeight="1" s="95">
      <c r="A126" s="117" t="inlineStr">
        <is>
          <t>싱크볼</t>
        </is>
      </c>
      <c r="B126" s="119" t="inlineStr">
        <is>
          <t>기본</t>
        </is>
      </c>
      <c r="C126" s="129" t="inlineStr">
        <is>
          <t>Y</t>
        </is>
      </c>
      <c r="E126" s="118" t="n"/>
    </row>
    <row r="127" ht="15" customHeight="1" s="95">
      <c r="A127" s="117" t="inlineStr">
        <is>
          <t>몸체</t>
        </is>
      </c>
      <c r="B127" s="119" t="inlineStr">
        <is>
          <t>기본</t>
        </is>
      </c>
      <c r="C127" s="129" t="inlineStr">
        <is>
          <t>Y</t>
        </is>
      </c>
      <c r="E127" s="118" t="n"/>
    </row>
  </sheetData>
  <mergeCells count="8">
    <mergeCell ref="A1:G1"/>
    <mergeCell ref="A59:C59"/>
    <mergeCell ref="A18:J18"/>
    <mergeCell ref="A83:G83"/>
    <mergeCell ref="A5:G5"/>
    <mergeCell ref="A7:G7"/>
    <mergeCell ref="A113:G113"/>
    <mergeCell ref="A28:G28"/>
  </mergeCells>
  <dataValidations count="48">
    <dataValidation sqref="B9" showDropDown="0" showInputMessage="0" showErrorMessage="1" allowBlank="1" errorTitle="잘못된 입력" error="목록에서 선택: 2,3,4,5" type="list" errorStyle="stop" operator="between">
      <formula1>"2,3,4,5"</formula1>
      <formula2>0</formula2>
    </dataValidation>
    <dataValidation sqref="B12" showDropDown="0" showInputMessage="0" showErrorMessage="1" allowBlank="1" errorTitle="잘못된 입력" error="목록에서 선택: 1,0" type="list" errorStyle="stop" operator="between">
      <formula1>"1,0"</formula1>
      <formula2>0</formula2>
    </dataValidation>
    <dataValidation sqref="B22:B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C22:C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D22:D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E22:E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F22:F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G22:G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H22:H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I22:I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J22:J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3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6" showDropDown="0" showInputMessage="0" showErrorMessage="1" allowBlank="1" errorTitle="잘못된 입력" error="목록에서 선택: 그대로 사용,문짝만 교체,필름 시공,문틀과 문짝 모두 새로 시공" type="list" errorStyle="stop" operator="between">
      <formula1>"그대로 사용,문짝만 교체,필름 시공,문틀과 문짝 모두 새로 시공"</formula1>
      <formula2>0</formula2>
    </dataValidation>
    <dataValidation sqref="E56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4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5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87:B9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87:C9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98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99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101:B11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01:C11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114" showDropDown="0" showInputMessage="0" showErrorMessage="1" allowBlank="1" errorTitle="잘못된 입력" error="목록에서 선택: 일자형,대면형" type="list" errorStyle="stop" operator="between">
      <formula1>"일자형,대면형"</formula1>
      <formula2>0</formula2>
    </dataValidation>
    <dataValidation sqref="B121:B12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21:C12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F59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E61:E66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E69:E8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B31" showDropDown="0" showInputMessage="0" showErrorMessage="1" allowBlank="1" errorTitle="잘못된 입력" error="목록에서 선택: Y,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1.01" customWidth="1" style="94" min="1" max="1"/>
    <col width="8.26" customWidth="1" style="94" min="2" max="7"/>
    <col width="7.34" customWidth="1" style="94" min="8" max="8"/>
    <col width="12.84" customWidth="1" style="94" min="9" max="9"/>
    <col width="7.34" customWidth="1" style="94" min="10" max="10"/>
  </cols>
  <sheetData>
    <row r="1" ht="15" customHeight="1" s="95">
      <c r="A1" s="118" t="inlineStr">
        <is>
          <t>평형별 공간 면적 표준치 (㎡)</t>
        </is>
      </c>
      <c r="I1" s="118" t="inlineStr">
        <is>
          <t>🔢 보간 도우미</t>
        </is>
      </c>
    </row>
    <row r="2" ht="15" customHeight="1" s="95">
      <c r="A2" s="116" t="inlineStr">
        <is>
          <t>공간</t>
        </is>
      </c>
      <c r="B2" s="116" t="n">
        <v>10</v>
      </c>
      <c r="C2" s="116" t="n">
        <v>20</v>
      </c>
      <c r="D2" s="116" t="n">
        <v>30</v>
      </c>
      <c r="E2" s="116" t="n">
        <v>40</v>
      </c>
      <c r="F2" s="116" t="n">
        <v>50</v>
      </c>
      <c r="G2" s="116" t="n">
        <v>60</v>
      </c>
      <c r="H2" s="116" t="inlineStr">
        <is>
          <t>단위</t>
        </is>
      </c>
      <c r="I2" s="116" t="inlineStr">
        <is>
          <t>lower 평형대</t>
        </is>
      </c>
      <c r="J2" s="143">
        <f>MAX(10,MIN(50,INT(우리집!$B$8/10)*10))</f>
        <v/>
      </c>
    </row>
    <row r="3" ht="15" customHeight="1" s="95">
      <c r="A3" s="116" t="inlineStr">
        <is>
          <t>거실</t>
        </is>
      </c>
      <c r="B3" s="144">
        <f>CHOOSE(우리집!$B$9-1,B37,B49,B61,B73)</f>
        <v/>
      </c>
      <c r="C3" s="144">
        <f>CHOOSE(우리집!$B$9-1,C37,C49,C61,C73)</f>
        <v/>
      </c>
      <c r="D3" s="144">
        <f>CHOOSE(우리집!$B$9-1,D37,D49,D61,D73)</f>
        <v/>
      </c>
      <c r="E3" s="144">
        <f>CHOOSE(우리집!$B$9-1,E37,E49,E61,E73)</f>
        <v/>
      </c>
      <c r="F3" s="144">
        <f>CHOOSE(우리집!$B$9-1,F37,F49,F61,F73)</f>
        <v/>
      </c>
      <c r="G3" s="144">
        <f>CHOOSE(우리집!$B$9-1,G37,G49,G61,G73)</f>
        <v/>
      </c>
      <c r="H3" s="116" t="inlineStr">
        <is>
          <t>㎡</t>
        </is>
      </c>
      <c r="I3" s="116" t="inlineStr">
        <is>
          <t>upper 평형대</t>
        </is>
      </c>
      <c r="J3" s="116">
        <f>J2+10</f>
        <v/>
      </c>
    </row>
    <row r="4" ht="15" customHeight="1" s="95">
      <c r="A4" s="116" t="inlineStr">
        <is>
          <t>주방</t>
        </is>
      </c>
      <c r="B4" s="144">
        <f>CHOOSE(우리집!$B$9-1,B38,B50,B62,B74)</f>
        <v/>
      </c>
      <c r="C4" s="144">
        <f>CHOOSE(우리집!$B$9-1,C38,C50,C62,C74)</f>
        <v/>
      </c>
      <c r="D4" s="144">
        <f>CHOOSE(우리집!$B$9-1,D38,D50,D62,D74)</f>
        <v/>
      </c>
      <c r="E4" s="144">
        <f>CHOOSE(우리집!$B$9-1,E38,E50,E62,E74)</f>
        <v/>
      </c>
      <c r="F4" s="144">
        <f>CHOOSE(우리집!$B$9-1,F38,F50,F62,F74)</f>
        <v/>
      </c>
      <c r="G4" s="144">
        <f>CHOOSE(우리집!$B$9-1,G38,G50,G62,G74)</f>
        <v/>
      </c>
      <c r="H4" s="116" t="inlineStr">
        <is>
          <t>㎡</t>
        </is>
      </c>
      <c r="I4" s="116" t="inlineStr">
        <is>
          <t>ratio (0~1)</t>
        </is>
      </c>
      <c r="J4" s="143">
        <f>MIN(1,MAX(0,(우리집!$B$8-J2)/10))</f>
        <v/>
      </c>
    </row>
    <row r="5" ht="15" customHeight="1" s="95">
      <c r="A5" s="116" t="inlineStr">
        <is>
          <t>안방</t>
        </is>
      </c>
      <c r="B5" s="144">
        <f>CHOOSE(우리집!$B$9-1,B39,B51,B63,B75)</f>
        <v/>
      </c>
      <c r="C5" s="144">
        <f>CHOOSE(우리집!$B$9-1,C39,C51,C63,C75)</f>
        <v/>
      </c>
      <c r="D5" s="144">
        <f>CHOOSE(우리집!$B$9-1,D39,D51,D63,D75)</f>
        <v/>
      </c>
      <c r="E5" s="144">
        <f>CHOOSE(우리집!$B$9-1,E39,E51,E63,E75)</f>
        <v/>
      </c>
      <c r="F5" s="144">
        <f>CHOOSE(우리집!$B$9-1,F39,F51,F63,F75)</f>
        <v/>
      </c>
      <c r="G5" s="144">
        <f>CHOOSE(우리집!$B$9-1,G39,G51,G63,G75)</f>
        <v/>
      </c>
      <c r="H5" s="116" t="inlineStr">
        <is>
          <t>㎡</t>
        </is>
      </c>
    </row>
    <row r="6" ht="15" customHeight="1" s="95">
      <c r="A6" s="116" t="inlineStr">
        <is>
          <t>작은방1</t>
        </is>
      </c>
      <c r="B6" s="144">
        <f>CHOOSE(우리집!$B$9-1,B40,B52,B64,B76)</f>
        <v/>
      </c>
      <c r="C6" s="144">
        <f>CHOOSE(우리집!$B$9-1,C40,C52,C64,C76)</f>
        <v/>
      </c>
      <c r="D6" s="144">
        <f>CHOOSE(우리집!$B$9-1,D40,D52,D64,D76)</f>
        <v/>
      </c>
      <c r="E6" s="144">
        <f>CHOOSE(우리집!$B$9-1,E40,E52,E64,E76)</f>
        <v/>
      </c>
      <c r="F6" s="144">
        <f>CHOOSE(우리집!$B$9-1,F40,F52,F64,F76)</f>
        <v/>
      </c>
      <c r="G6" s="144">
        <f>CHOOSE(우리집!$B$9-1,G40,G52,G64,G76)</f>
        <v/>
      </c>
      <c r="H6" s="116" t="inlineStr">
        <is>
          <t>㎡</t>
        </is>
      </c>
    </row>
    <row r="7" ht="15" customHeight="1" s="95">
      <c r="A7" s="116" t="inlineStr">
        <is>
          <t>작은방2</t>
        </is>
      </c>
      <c r="B7" s="144">
        <f>CHOOSE(우리집!$B$9-1,B41,B53,B65,B77)</f>
        <v/>
      </c>
      <c r="C7" s="144">
        <f>CHOOSE(우리집!$B$9-1,C41,C53,C65,C77)</f>
        <v/>
      </c>
      <c r="D7" s="144">
        <f>CHOOSE(우리집!$B$9-1,D41,D53,D65,D77)</f>
        <v/>
      </c>
      <c r="E7" s="144">
        <f>CHOOSE(우리집!$B$9-1,E41,E53,E65,E77)</f>
        <v/>
      </c>
      <c r="F7" s="144">
        <f>CHOOSE(우리집!$B$9-1,F41,F53,F65,F77)</f>
        <v/>
      </c>
      <c r="G7" s="144">
        <f>CHOOSE(우리집!$B$9-1,G41,G53,G65,G77)</f>
        <v/>
      </c>
      <c r="H7" s="116" t="inlineStr">
        <is>
          <t>㎡</t>
        </is>
      </c>
    </row>
    <row r="8" ht="15" customHeight="1" s="95">
      <c r="A8" s="116" t="inlineStr">
        <is>
          <t>공용욕실</t>
        </is>
      </c>
      <c r="B8" s="144">
        <f>CHOOSE(우리집!$B$9-1,B42,B54,B66,B78)</f>
        <v/>
      </c>
      <c r="C8" s="144">
        <f>CHOOSE(우리집!$B$9-1,C42,C54,C66,C78)</f>
        <v/>
      </c>
      <c r="D8" s="144">
        <f>CHOOSE(우리집!$B$9-1,D42,D54,D66,D78)</f>
        <v/>
      </c>
      <c r="E8" s="144">
        <f>CHOOSE(우리집!$B$9-1,E42,E54,E66,E78)</f>
        <v/>
      </c>
      <c r="F8" s="144">
        <f>CHOOSE(우리집!$B$9-1,F42,F54,F66,F78)</f>
        <v/>
      </c>
      <c r="G8" s="144">
        <f>CHOOSE(우리집!$B$9-1,G42,G54,G66,G78)</f>
        <v/>
      </c>
      <c r="H8" s="116" t="inlineStr">
        <is>
          <t>㎡</t>
        </is>
      </c>
    </row>
    <row r="9" ht="15" customHeight="1" s="95">
      <c r="A9" s="116" t="inlineStr">
        <is>
          <t>부부욕실</t>
        </is>
      </c>
      <c r="B9" s="144">
        <f>CHOOSE(우리집!$B$9-1,B43,B55,B67,B79)</f>
        <v/>
      </c>
      <c r="C9" s="144">
        <f>CHOOSE(우리집!$B$9-1,C43,C55,C67,C79)</f>
        <v/>
      </c>
      <c r="D9" s="144">
        <f>CHOOSE(우리집!$B$9-1,D43,D55,D67,D79)</f>
        <v/>
      </c>
      <c r="E9" s="144">
        <f>CHOOSE(우리집!$B$9-1,E43,E55,E67,E79)</f>
        <v/>
      </c>
      <c r="F9" s="144">
        <f>CHOOSE(우리집!$B$9-1,F43,F55,F67,F79)</f>
        <v/>
      </c>
      <c r="G9" s="144">
        <f>CHOOSE(우리집!$B$9-1,G43,G55,G67,G79)</f>
        <v/>
      </c>
      <c r="H9" s="116" t="inlineStr">
        <is>
          <t>㎡</t>
        </is>
      </c>
    </row>
    <row r="10" ht="15" customHeight="1" s="95">
      <c r="A10" s="116" t="inlineStr">
        <is>
          <t>현관</t>
        </is>
      </c>
      <c r="B10" s="144">
        <f>CHOOSE(우리집!$B$9-1,B44,B56,B68,B80)</f>
        <v/>
      </c>
      <c r="C10" s="144">
        <f>CHOOSE(우리집!$B$9-1,C44,C56,C68,C80)</f>
        <v/>
      </c>
      <c r="D10" s="144">
        <f>CHOOSE(우리집!$B$9-1,D44,D56,D68,D80)</f>
        <v/>
      </c>
      <c r="E10" s="144">
        <f>CHOOSE(우리집!$B$9-1,E44,E56,E68,E80)</f>
        <v/>
      </c>
      <c r="F10" s="144">
        <f>CHOOSE(우리집!$B$9-1,F44,F56,F68,F80)</f>
        <v/>
      </c>
      <c r="G10" s="144">
        <f>CHOOSE(우리집!$B$9-1,G44,G56,G68,G80)</f>
        <v/>
      </c>
      <c r="H10" s="116" t="inlineStr">
        <is>
          <t>㎡</t>
        </is>
      </c>
    </row>
    <row r="11" ht="15" customHeight="1" s="95">
      <c r="A11" s="116" t="inlineStr">
        <is>
          <t>외부창 (3베이 기준)</t>
        </is>
      </c>
      <c r="B11" s="144">
        <f>CHOOSE(우리집!$B$9-1,B45,B57,B69,B81)</f>
        <v/>
      </c>
      <c r="C11" s="144">
        <f>CHOOSE(우리집!$B$9-1,C45,C57,C69,C81)</f>
        <v/>
      </c>
      <c r="D11" s="144">
        <f>CHOOSE(우리집!$B$9-1,D45,D57,D69,D81)</f>
        <v/>
      </c>
      <c r="E11" s="144">
        <f>CHOOSE(우리집!$B$9-1,E45,E57,E69,E81)</f>
        <v/>
      </c>
      <c r="F11" s="144">
        <f>CHOOSE(우리집!$B$9-1,F45,F57,F69,F81)</f>
        <v/>
      </c>
      <c r="G11" s="144">
        <f>CHOOSE(우리집!$B$9-1,G45,G57,G69,G81)</f>
        <v/>
      </c>
      <c r="H11" s="116" t="inlineStr">
        <is>
          <t>㎡</t>
        </is>
      </c>
    </row>
    <row r="12" ht="15" customHeight="1" s="95">
      <c r="A12" s="118" t="inlineStr">
        <is>
          <t>공간 둘레 추정 (m, 몰딩용)</t>
        </is>
      </c>
    </row>
    <row r="13" ht="15" customHeight="1" s="95">
      <c r="A13" s="116" t="inlineStr">
        <is>
          <t>공간</t>
        </is>
      </c>
      <c r="B13" s="116" t="n">
        <v>10</v>
      </c>
      <c r="C13" s="116" t="n">
        <v>20</v>
      </c>
      <c r="D13" s="116" t="n">
        <v>30</v>
      </c>
      <c r="E13" s="116" t="n">
        <v>40</v>
      </c>
      <c r="F13" s="116" t="n">
        <v>50</v>
      </c>
      <c r="G13" s="116" t="n">
        <v>60</v>
      </c>
      <c r="H13" s="116" t="inlineStr">
        <is>
          <t>단위</t>
        </is>
      </c>
    </row>
    <row r="14" ht="15" customHeight="1" s="95">
      <c r="A14" s="116" t="inlineStr">
        <is>
          <t>거실</t>
        </is>
      </c>
      <c r="B14" s="145">
        <f>IF(B3=0,0,SQRT(B3)*3.4)</f>
        <v/>
      </c>
      <c r="C14" s="145">
        <f>IF(C3=0,0,SQRT(C3)*3.4)</f>
        <v/>
      </c>
      <c r="D14" s="145">
        <f>IF(D3=0,0,SQRT(D3)*3.4)</f>
        <v/>
      </c>
      <c r="E14" s="145">
        <f>IF(E3=0,0,SQRT(E3)*3.4)</f>
        <v/>
      </c>
      <c r="F14" s="145">
        <f>IF(F3=0,0,SQRT(F3)*3.4)</f>
        <v/>
      </c>
      <c r="G14" s="145">
        <f>IF(G3=0,0,SQRT(G3)*3.4)</f>
        <v/>
      </c>
      <c r="H14" s="116" t="inlineStr">
        <is>
          <t>m</t>
        </is>
      </c>
    </row>
    <row r="15" ht="15" customHeight="1" s="95">
      <c r="A15" s="116" t="inlineStr">
        <is>
          <t>주방</t>
        </is>
      </c>
      <c r="B15" s="145">
        <f>IF(B4=0,0,SQRT(B4)*3.4)</f>
        <v/>
      </c>
      <c r="C15" s="145">
        <f>IF(C4=0,0,SQRT(C4)*3.4)</f>
        <v/>
      </c>
      <c r="D15" s="145">
        <f>IF(D4=0,0,SQRT(D4)*3.4)</f>
        <v/>
      </c>
      <c r="E15" s="145">
        <f>IF(E4=0,0,SQRT(E4)*3.4)</f>
        <v/>
      </c>
      <c r="F15" s="145">
        <f>IF(F4=0,0,SQRT(F4)*3.4)</f>
        <v/>
      </c>
      <c r="G15" s="145">
        <f>IF(G4=0,0,SQRT(G4)*3.4)</f>
        <v/>
      </c>
      <c r="H15" s="116" t="inlineStr">
        <is>
          <t>m</t>
        </is>
      </c>
    </row>
    <row r="16" ht="15" customHeight="1" s="95">
      <c r="A16" s="116" t="inlineStr">
        <is>
          <t>안방</t>
        </is>
      </c>
      <c r="B16" s="145">
        <f>IF(B5=0,0,SQRT(B5)*3.4)</f>
        <v/>
      </c>
      <c r="C16" s="145">
        <f>IF(C5=0,0,SQRT(C5)*3.4)</f>
        <v/>
      </c>
      <c r="D16" s="145">
        <f>IF(D5=0,0,SQRT(D5)*3.4)</f>
        <v/>
      </c>
      <c r="E16" s="145">
        <f>IF(E5=0,0,SQRT(E5)*3.4)</f>
        <v/>
      </c>
      <c r="F16" s="145">
        <f>IF(F5=0,0,SQRT(F5)*3.4)</f>
        <v/>
      </c>
      <c r="G16" s="145">
        <f>IF(G5=0,0,SQRT(G5)*3.4)</f>
        <v/>
      </c>
      <c r="H16" s="116" t="inlineStr">
        <is>
          <t>m</t>
        </is>
      </c>
    </row>
    <row r="17" ht="15" customHeight="1" s="95">
      <c r="A17" s="116" t="inlineStr">
        <is>
          <t>작은방1</t>
        </is>
      </c>
      <c r="B17" s="145">
        <f>IF(B6=0,0,SQRT(B6)*3.4)</f>
        <v/>
      </c>
      <c r="C17" s="145">
        <f>IF(C6=0,0,SQRT(C6)*3.4)</f>
        <v/>
      </c>
      <c r="D17" s="145">
        <f>IF(D6=0,0,SQRT(D6)*3.4)</f>
        <v/>
      </c>
      <c r="E17" s="145">
        <f>IF(E6=0,0,SQRT(E6)*3.4)</f>
        <v/>
      </c>
      <c r="F17" s="145">
        <f>IF(F6=0,0,SQRT(F6)*3.4)</f>
        <v/>
      </c>
      <c r="G17" s="145">
        <f>IF(G6=0,0,SQRT(G6)*3.4)</f>
        <v/>
      </c>
      <c r="H17" s="116" t="inlineStr">
        <is>
          <t>m</t>
        </is>
      </c>
    </row>
    <row r="18" ht="15" customHeight="1" s="95">
      <c r="A18" s="116" t="inlineStr">
        <is>
          <t>작은방2</t>
        </is>
      </c>
      <c r="B18" s="145">
        <f>IF(B7=0,0,SQRT(B7)*3.4)</f>
        <v/>
      </c>
      <c r="C18" s="145">
        <f>IF(C7=0,0,SQRT(C7)*3.4)</f>
        <v/>
      </c>
      <c r="D18" s="145">
        <f>IF(D7=0,0,SQRT(D7)*3.4)</f>
        <v/>
      </c>
      <c r="E18" s="145">
        <f>IF(E7=0,0,SQRT(E7)*3.4)</f>
        <v/>
      </c>
      <c r="F18" s="145">
        <f>IF(F7=0,0,SQRT(F7)*3.4)</f>
        <v/>
      </c>
      <c r="G18" s="145">
        <f>IF(G7=0,0,SQRT(G7)*3.4)</f>
        <v/>
      </c>
      <c r="H18" s="116" t="inlineStr">
        <is>
          <t>m</t>
        </is>
      </c>
    </row>
    <row r="19" ht="15" customHeight="1" s="95">
      <c r="A19" s="116" t="inlineStr">
        <is>
          <t>공용욕실</t>
        </is>
      </c>
      <c r="B19" s="145">
        <f>IF(B8=0,0,SQRT(B8)*3.4)</f>
        <v/>
      </c>
      <c r="C19" s="145">
        <f>IF(C8=0,0,SQRT(C8)*3.4)</f>
        <v/>
      </c>
      <c r="D19" s="145">
        <f>IF(D8=0,0,SQRT(D8)*3.4)</f>
        <v/>
      </c>
      <c r="E19" s="145">
        <f>IF(E8=0,0,SQRT(E8)*3.4)</f>
        <v/>
      </c>
      <c r="F19" s="145">
        <f>IF(F8=0,0,SQRT(F8)*3.4)</f>
        <v/>
      </c>
      <c r="G19" s="145">
        <f>IF(G8=0,0,SQRT(G8)*3.4)</f>
        <v/>
      </c>
      <c r="H19" s="116" t="inlineStr">
        <is>
          <t>m</t>
        </is>
      </c>
    </row>
    <row r="20" ht="15" customHeight="1" s="95">
      <c r="A20" s="116" t="inlineStr">
        <is>
          <t>부부욕실</t>
        </is>
      </c>
      <c r="B20" s="145">
        <f>IF(B9=0,0,SQRT(B9)*3.4)</f>
        <v/>
      </c>
      <c r="C20" s="145">
        <f>IF(C9=0,0,SQRT(C9)*3.4)</f>
        <v/>
      </c>
      <c r="D20" s="145">
        <f>IF(D9=0,0,SQRT(D9)*3.4)</f>
        <v/>
      </c>
      <c r="E20" s="145">
        <f>IF(E9=0,0,SQRT(E9)*3.4)</f>
        <v/>
      </c>
      <c r="F20" s="145">
        <f>IF(F9=0,0,SQRT(F9)*3.4)</f>
        <v/>
      </c>
      <c r="G20" s="145">
        <f>IF(G9=0,0,SQRT(G9)*3.4)</f>
        <v/>
      </c>
      <c r="H20" s="116" t="inlineStr">
        <is>
          <t>m</t>
        </is>
      </c>
    </row>
    <row r="21" ht="15" customHeight="1" s="95">
      <c r="A21" s="116" t="inlineStr">
        <is>
          <t>현관</t>
        </is>
      </c>
      <c r="B21" s="144">
        <f>IF(B10=0,0,SQRT(B10)*3.4)</f>
        <v/>
      </c>
      <c r="C21" s="144">
        <f>IF(C10=0,0,SQRT(C10)*3.4)</f>
        <v/>
      </c>
      <c r="D21" s="144">
        <f>IF(D10=0,0,SQRT(D10)*3.4)</f>
        <v/>
      </c>
      <c r="E21" s="144">
        <f>IF(E10=0,0,SQRT(E10)*3.4)</f>
        <v/>
      </c>
      <c r="F21" s="144">
        <f>IF(F10=0,0,SQRT(F10)*3.4)</f>
        <v/>
      </c>
      <c r="G21" s="144">
        <f>IF(G10=0,0,SQRT(G10)*3.4)</f>
        <v/>
      </c>
      <c r="H21" s="116" t="inlineStr">
        <is>
          <t>m</t>
        </is>
      </c>
    </row>
    <row r="22" ht="15" customHeight="1" s="95">
      <c r="A22" s="116" t="inlineStr">
        <is>
          <t>외부창 (3베이 기준)</t>
        </is>
      </c>
      <c r="B22" s="144">
        <f>IF(B11=0,0,SQRT(B11)*3.4)</f>
        <v/>
      </c>
      <c r="C22" s="144">
        <f>IF(C11=0,0,SQRT(C11)*3.4)</f>
        <v/>
      </c>
      <c r="D22" s="144">
        <f>IF(D11=0,0,SQRT(D11)*3.4)</f>
        <v/>
      </c>
      <c r="E22" s="144">
        <f>IF(E11=0,0,SQRT(E11)*3.4)</f>
        <v/>
      </c>
      <c r="F22" s="144">
        <f>IF(F11=0,0,SQRT(F11)*3.4)</f>
        <v/>
      </c>
      <c r="G22" s="144">
        <f>IF(G11=0,0,SQRT(G11)*3.4)</f>
        <v/>
      </c>
      <c r="H22" s="116" t="inlineStr">
        <is>
          <t>m</t>
        </is>
      </c>
    </row>
    <row r="25" ht="15" customHeight="1" s="95">
      <c r="A25" s="129" t="inlineStr">
        <is>
          <t>발코니/다용도실 표준 면적 (3베이 비확장 가정)</t>
        </is>
      </c>
    </row>
    <row r="26" ht="15" customHeight="1" s="95">
      <c r="A26" s="116" t="inlineStr">
        <is>
          <t>공간</t>
        </is>
      </c>
      <c r="B26" s="116" t="n">
        <v>10</v>
      </c>
      <c r="C26" s="116" t="n">
        <v>20</v>
      </c>
      <c r="D26" s="116" t="n">
        <v>30</v>
      </c>
      <c r="E26" s="116" t="n">
        <v>40</v>
      </c>
      <c r="F26" s="116" t="n">
        <v>50</v>
      </c>
      <c r="G26" s="116" t="n">
        <v>60</v>
      </c>
      <c r="H26" s="116" t="inlineStr">
        <is>
          <t>단위</t>
        </is>
      </c>
    </row>
    <row r="27" ht="15" customHeight="1" s="95">
      <c r="A27" s="116" t="inlineStr">
        <is>
          <t>발코니 면적</t>
        </is>
      </c>
      <c r="B27" s="145" t="n">
        <v>4</v>
      </c>
      <c r="C27" s="145" t="n">
        <v>7</v>
      </c>
      <c r="D27" s="145" t="n">
        <v>11</v>
      </c>
      <c r="E27" s="145" t="n">
        <v>15</v>
      </c>
      <c r="F27" s="145" t="n">
        <v>18</v>
      </c>
      <c r="G27" s="145" t="n">
        <v>22</v>
      </c>
      <c r="H27" s="116" t="inlineStr">
        <is>
          <t>㎡</t>
        </is>
      </c>
    </row>
    <row r="28" ht="15" customHeight="1" s="95">
      <c r="A28" s="116" t="inlineStr">
        <is>
          <t>다용도실 면적</t>
        </is>
      </c>
      <c r="B28" s="145" t="n">
        <v>1.5</v>
      </c>
      <c r="C28" s="145" t="n">
        <v>2.5</v>
      </c>
      <c r="D28" s="145" t="n">
        <v>3</v>
      </c>
      <c r="E28" s="145" t="n">
        <v>4</v>
      </c>
      <c r="F28" s="145" t="n">
        <v>4.5</v>
      </c>
      <c r="G28" s="145" t="n">
        <v>5</v>
      </c>
      <c r="H28" s="116" t="inlineStr">
        <is>
          <t>㎡</t>
        </is>
      </c>
    </row>
    <row r="29" ht="15" customHeight="1" s="95">
      <c r="A29" s="116" t="inlineStr">
        <is>
          <t>발코니 도장 면적</t>
        </is>
      </c>
      <c r="B29" s="145" t="n">
        <v>12</v>
      </c>
      <c r="C29" s="145" t="n">
        <v>21</v>
      </c>
      <c r="D29" s="145" t="n">
        <v>32</v>
      </c>
      <c r="E29" s="145" t="n">
        <v>43</v>
      </c>
      <c r="F29" s="145" t="n">
        <v>53</v>
      </c>
      <c r="G29" s="145" t="n">
        <v>64</v>
      </c>
      <c r="H29" s="116" t="inlineStr">
        <is>
          <t>㎡</t>
        </is>
      </c>
    </row>
    <row r="30" ht="15" customHeight="1" s="95">
      <c r="A30" s="116" t="inlineStr">
        <is>
          <t>다용도실 도장 면적</t>
        </is>
      </c>
      <c r="B30" s="145" t="n">
        <v>5</v>
      </c>
      <c r="C30" s="145" t="n">
        <v>8</v>
      </c>
      <c r="D30" s="145" t="n">
        <v>9</v>
      </c>
      <c r="E30" s="145" t="n">
        <v>12</v>
      </c>
      <c r="F30" s="145" t="n">
        <v>14</v>
      </c>
      <c r="G30" s="145" t="n">
        <v>15</v>
      </c>
      <c r="H30" s="116" t="inlineStr">
        <is>
          <t>㎡</t>
        </is>
      </c>
    </row>
    <row r="31" ht="15" customHeight="1" s="95">
      <c r="A31" s="129" t="inlineStr">
        <is>
          <t>주의: 평형별 표준치는 한국 아파트 평균(전용 75/100/130㎡, 3베이 기준). 2026-05 시장 자료(대한건축학회·전용율 분포) 반영하여 거실·외부창 면적 보정. [베이별 산정] 우리집!B10 베이수에 따라 active 영역(B3:G11) 자동 갱신. 베이별 표는 row 35 이하 참조.</t>
        </is>
      </c>
    </row>
    <row r="33" ht="15" customHeight="1" s="95">
      <c r="A33" s="129" t="inlineStr">
        <is>
          <t>═══ [베이별 평형 표준면적] ═══ (active 영역 B3:G11이 우리집!B10에 따라 자동 참조)</t>
        </is>
      </c>
    </row>
    <row r="35" ht="15" customHeight="1" s="95">
      <c r="A35" s="118" t="inlineStr">
        <is>
          <t>[2베이] 평형별 표준 면적 (㎡)</t>
        </is>
      </c>
      <c r="H35" s="118" t="inlineStr">
        <is>
          <t>20~30평 권장 (40평+ 추정)</t>
        </is>
      </c>
    </row>
    <row r="36" ht="15" customHeight="1" s="95">
      <c r="A36" s="118" t="inlineStr">
        <is>
          <t>공간</t>
        </is>
      </c>
      <c r="B36" s="118" t="n">
        <v>10</v>
      </c>
      <c r="C36" s="118" t="n">
        <v>20</v>
      </c>
      <c r="D36" s="118" t="n">
        <v>30</v>
      </c>
      <c r="E36" s="118" t="n">
        <v>40</v>
      </c>
      <c r="F36" s="118" t="n">
        <v>50</v>
      </c>
      <c r="G36" s="118" t="n">
        <v>60</v>
      </c>
      <c r="H36" s="118" t="inlineStr">
        <is>
          <t>단위</t>
        </is>
      </c>
    </row>
    <row r="37" ht="15" customHeight="1" s="95">
      <c r="A37" s="118" t="inlineStr">
        <is>
          <t>거실</t>
        </is>
      </c>
      <c r="B37" s="118" t="n">
        <v>8</v>
      </c>
      <c r="C37" s="118" t="n">
        <v>14</v>
      </c>
      <c r="D37" s="118" t="n">
        <v>24</v>
      </c>
      <c r="E37" s="118" t="n">
        <v>30</v>
      </c>
      <c r="F37" s="118" t="n">
        <v>34</v>
      </c>
      <c r="G37" s="118" t="n">
        <v>40</v>
      </c>
      <c r="H37" s="118" t="inlineStr">
        <is>
          <t>㎡</t>
        </is>
      </c>
    </row>
    <row r="38" ht="15" customHeight="1" s="95">
      <c r="A38" s="118" t="inlineStr">
        <is>
          <t>주방</t>
        </is>
      </c>
      <c r="B38" s="118" t="n">
        <v>5</v>
      </c>
      <c r="C38" s="118" t="n">
        <v>8</v>
      </c>
      <c r="D38" s="118" t="n">
        <v>11</v>
      </c>
      <c r="E38" s="118" t="n">
        <v>14</v>
      </c>
      <c r="F38" s="118" t="n">
        <v>16</v>
      </c>
      <c r="G38" s="118" t="n">
        <v>19</v>
      </c>
      <c r="H38" s="118" t="inlineStr">
        <is>
          <t>㎡</t>
        </is>
      </c>
    </row>
    <row r="39" ht="15" customHeight="1" s="95">
      <c r="A39" s="118" t="inlineStr">
        <is>
          <t>안방</t>
        </is>
      </c>
      <c r="B39" s="118" t="n">
        <v>7</v>
      </c>
      <c r="C39" s="118" t="n">
        <v>11</v>
      </c>
      <c r="D39" s="118" t="n">
        <v>15</v>
      </c>
      <c r="E39" s="118" t="n">
        <v>17</v>
      </c>
      <c r="F39" s="118" t="n">
        <v>18</v>
      </c>
      <c r="G39" s="118" t="n">
        <v>20</v>
      </c>
      <c r="H39" s="118" t="inlineStr">
        <is>
          <t>㎡</t>
        </is>
      </c>
    </row>
    <row r="40" ht="15" customHeight="1" s="95">
      <c r="A40" s="118" t="inlineStr">
        <is>
          <t>작방1</t>
        </is>
      </c>
      <c r="B40" s="118" t="n">
        <v>0</v>
      </c>
      <c r="C40" s="118" t="n">
        <v>8</v>
      </c>
      <c r="D40" s="118" t="n">
        <v>9</v>
      </c>
      <c r="E40" s="118" t="n">
        <v>10</v>
      </c>
      <c r="F40" s="118" t="n">
        <v>11</v>
      </c>
      <c r="G40" s="118" t="n">
        <v>13</v>
      </c>
      <c r="H40" s="118" t="inlineStr">
        <is>
          <t>㎡</t>
        </is>
      </c>
    </row>
    <row r="41" ht="15" customHeight="1" s="95">
      <c r="A41" s="118" t="inlineStr">
        <is>
          <t>작방2</t>
        </is>
      </c>
      <c r="B41" s="118" t="n">
        <v>0</v>
      </c>
      <c r="C41" s="118" t="n">
        <v>0</v>
      </c>
      <c r="D41" s="118" t="n">
        <v>7</v>
      </c>
      <c r="E41" s="118" t="n">
        <v>9</v>
      </c>
      <c r="F41" s="118" t="n">
        <v>10</v>
      </c>
      <c r="G41" s="118" t="n">
        <v>11</v>
      </c>
      <c r="H41" s="118" t="inlineStr">
        <is>
          <t>㎡</t>
        </is>
      </c>
    </row>
    <row r="42" ht="15" customHeight="1" s="95">
      <c r="A42" s="118" t="inlineStr">
        <is>
          <t>공용욕실</t>
        </is>
      </c>
      <c r="B42" s="118" t="n">
        <v>3</v>
      </c>
      <c r="C42" s="118" t="n">
        <v>4</v>
      </c>
      <c r="D42" s="118" t="n">
        <v>5</v>
      </c>
      <c r="E42" s="118" t="n">
        <v>6</v>
      </c>
      <c r="F42" s="118" t="n">
        <v>7</v>
      </c>
      <c r="G42" s="118" t="n">
        <v>8</v>
      </c>
      <c r="H42" s="118" t="inlineStr">
        <is>
          <t>㎡</t>
        </is>
      </c>
    </row>
    <row r="43" ht="15" customHeight="1" s="95">
      <c r="A43" s="118" t="inlineStr">
        <is>
          <t>부부욕실</t>
        </is>
      </c>
      <c r="B43" s="118" t="n">
        <v>0</v>
      </c>
      <c r="C43" s="118" t="n">
        <v>0</v>
      </c>
      <c r="D43" s="118" t="n">
        <v>5</v>
      </c>
      <c r="E43" s="118" t="n">
        <v>6</v>
      </c>
      <c r="F43" s="118" t="n">
        <v>7</v>
      </c>
      <c r="G43" s="118" t="n">
        <v>8</v>
      </c>
      <c r="H43" s="118" t="inlineStr">
        <is>
          <t>㎡</t>
        </is>
      </c>
    </row>
    <row r="44" ht="15" customHeight="1" s="95">
      <c r="A44" s="118" t="inlineStr">
        <is>
          <t>현관</t>
        </is>
      </c>
      <c r="B44" s="118" t="n">
        <v>2</v>
      </c>
      <c r="C44" s="118" t="n">
        <v>3</v>
      </c>
      <c r="D44" s="118" t="n">
        <v>4</v>
      </c>
      <c r="E44" s="118" t="n">
        <v>5</v>
      </c>
      <c r="F44" s="118" t="n">
        <v>6</v>
      </c>
      <c r="G44" s="118" t="n">
        <v>7</v>
      </c>
      <c r="H44" s="118" t="inlineStr">
        <is>
          <t>㎡</t>
        </is>
      </c>
    </row>
    <row r="45" ht="15" customHeight="1" s="95">
      <c r="A45" s="118" t="inlineStr">
        <is>
          <t>외부창</t>
        </is>
      </c>
      <c r="B45" s="118" t="n">
        <v>6</v>
      </c>
      <c r="C45" s="118" t="n">
        <v>8</v>
      </c>
      <c r="D45" s="118" t="n">
        <v>12</v>
      </c>
      <c r="E45" s="118" t="n">
        <v>14</v>
      </c>
      <c r="F45" s="118" t="n">
        <v>17</v>
      </c>
      <c r="G45" s="118" t="n">
        <v>20</v>
      </c>
      <c r="H45" s="118" t="inlineStr">
        <is>
          <t>㎡</t>
        </is>
      </c>
    </row>
    <row r="47" ht="15" customHeight="1" s="95">
      <c r="A47" s="118" t="inlineStr">
        <is>
          <t>[3베이] 평형별 표준 면적 (㎡)</t>
        </is>
      </c>
      <c r="H47" s="118" t="inlineStr">
        <is>
          <t>⭐ 기본 (전 평형)</t>
        </is>
      </c>
    </row>
    <row r="48" ht="15" customHeight="1" s="95">
      <c r="A48" s="118" t="inlineStr">
        <is>
          <t>공간</t>
        </is>
      </c>
      <c r="B48" s="118" t="n">
        <v>10</v>
      </c>
      <c r="C48" s="118" t="n">
        <v>20</v>
      </c>
      <c r="D48" s="118" t="n">
        <v>30</v>
      </c>
      <c r="E48" s="118" t="n">
        <v>40</v>
      </c>
      <c r="F48" s="118" t="n">
        <v>50</v>
      </c>
      <c r="G48" s="118" t="n">
        <v>60</v>
      </c>
      <c r="H48" s="118" t="inlineStr">
        <is>
          <t>단위</t>
        </is>
      </c>
    </row>
    <row r="49" ht="15" customHeight="1" s="95">
      <c r="A49" s="118" t="inlineStr">
        <is>
          <t>거실</t>
        </is>
      </c>
      <c r="B49" s="118" t="n">
        <v>7</v>
      </c>
      <c r="C49" s="118" t="n">
        <v>12</v>
      </c>
      <c r="D49" s="118" t="n">
        <v>20</v>
      </c>
      <c r="E49" s="118" t="n">
        <v>28</v>
      </c>
      <c r="F49" s="118" t="n">
        <v>32</v>
      </c>
      <c r="G49" s="118" t="n">
        <v>38</v>
      </c>
      <c r="H49" s="118" t="inlineStr">
        <is>
          <t>㎡</t>
        </is>
      </c>
    </row>
    <row r="50" ht="15" customHeight="1" s="95">
      <c r="A50" s="118" t="inlineStr">
        <is>
          <t>주방</t>
        </is>
      </c>
      <c r="B50" s="118" t="n">
        <v>5</v>
      </c>
      <c r="C50" s="118" t="n">
        <v>7</v>
      </c>
      <c r="D50" s="118" t="n">
        <v>10</v>
      </c>
      <c r="E50" s="118" t="n">
        <v>13</v>
      </c>
      <c r="F50" s="118" t="n">
        <v>16</v>
      </c>
      <c r="G50" s="118" t="n">
        <v>18</v>
      </c>
      <c r="H50" s="118" t="inlineStr">
        <is>
          <t>㎡</t>
        </is>
      </c>
    </row>
    <row r="51" ht="15" customHeight="1" s="95">
      <c r="A51" s="118" t="inlineStr">
        <is>
          <t>안방</t>
        </is>
      </c>
      <c r="B51" s="118" t="n">
        <v>7</v>
      </c>
      <c r="C51" s="118" t="n">
        <v>10</v>
      </c>
      <c r="D51" s="118" t="n">
        <v>14</v>
      </c>
      <c r="E51" s="118" t="n">
        <v>16</v>
      </c>
      <c r="F51" s="118" t="n">
        <v>17</v>
      </c>
      <c r="G51" s="118" t="n">
        <v>19</v>
      </c>
      <c r="H51" s="118" t="inlineStr">
        <is>
          <t>㎡</t>
        </is>
      </c>
    </row>
    <row r="52" ht="15" customHeight="1" s="95">
      <c r="A52" s="118" t="inlineStr">
        <is>
          <t>작방1</t>
        </is>
      </c>
      <c r="B52" s="118" t="n">
        <v>0</v>
      </c>
      <c r="C52" s="118" t="n">
        <v>7</v>
      </c>
      <c r="D52" s="118" t="n">
        <v>9</v>
      </c>
      <c r="E52" s="118" t="n">
        <v>10</v>
      </c>
      <c r="F52" s="118" t="n">
        <v>11</v>
      </c>
      <c r="G52" s="118" t="n">
        <v>13</v>
      </c>
      <c r="H52" s="118" t="inlineStr">
        <is>
          <t>㎡</t>
        </is>
      </c>
    </row>
    <row r="53" ht="15" customHeight="1" s="95">
      <c r="A53" s="118" t="inlineStr">
        <is>
          <t>작방2</t>
        </is>
      </c>
      <c r="B53" s="118" t="n">
        <v>0</v>
      </c>
      <c r="C53" s="118" t="n">
        <v>0</v>
      </c>
      <c r="D53" s="118" t="n">
        <v>7</v>
      </c>
      <c r="E53" s="118" t="n">
        <v>9</v>
      </c>
      <c r="F53" s="118" t="n">
        <v>10</v>
      </c>
      <c r="G53" s="118" t="n">
        <v>11</v>
      </c>
      <c r="H53" s="118" t="inlineStr">
        <is>
          <t>㎡</t>
        </is>
      </c>
    </row>
    <row r="54" ht="15" customHeight="1" s="95">
      <c r="A54" s="118" t="inlineStr">
        <is>
          <t>공용욕실</t>
        </is>
      </c>
      <c r="B54" s="118" t="n">
        <v>3</v>
      </c>
      <c r="C54" s="118" t="n">
        <v>4</v>
      </c>
      <c r="D54" s="118" t="n">
        <v>5</v>
      </c>
      <c r="E54" s="118" t="n">
        <v>6</v>
      </c>
      <c r="F54" s="118" t="n">
        <v>7</v>
      </c>
      <c r="G54" s="118" t="n">
        <v>8</v>
      </c>
      <c r="H54" s="118" t="inlineStr">
        <is>
          <t>㎡</t>
        </is>
      </c>
    </row>
    <row r="55" ht="15" customHeight="1" s="95">
      <c r="A55" s="118" t="inlineStr">
        <is>
          <t>부부욕실</t>
        </is>
      </c>
      <c r="B55" s="118" t="n">
        <v>0</v>
      </c>
      <c r="C55" s="118" t="n">
        <v>0</v>
      </c>
      <c r="D55" s="118" t="n">
        <v>5</v>
      </c>
      <c r="E55" s="118" t="n">
        <v>6</v>
      </c>
      <c r="F55" s="118" t="n">
        <v>7</v>
      </c>
      <c r="G55" s="118" t="n">
        <v>8</v>
      </c>
      <c r="H55" s="118" t="inlineStr">
        <is>
          <t>㎡</t>
        </is>
      </c>
    </row>
    <row r="56" ht="15" customHeight="1" s="95">
      <c r="A56" s="118" t="inlineStr">
        <is>
          <t>현관</t>
        </is>
      </c>
      <c r="B56" s="118" t="n">
        <v>2</v>
      </c>
      <c r="C56" s="118" t="n">
        <v>3</v>
      </c>
      <c r="D56" s="118" t="n">
        <v>4</v>
      </c>
      <c r="E56" s="118" t="n">
        <v>5</v>
      </c>
      <c r="F56" s="118" t="n">
        <v>6</v>
      </c>
      <c r="G56" s="118" t="n">
        <v>7</v>
      </c>
      <c r="H56" s="118" t="inlineStr">
        <is>
          <t>㎡</t>
        </is>
      </c>
    </row>
    <row r="57" ht="15" customHeight="1" s="95">
      <c r="A57" s="118" t="inlineStr">
        <is>
          <t>외부창</t>
        </is>
      </c>
      <c r="B57" s="118" t="n">
        <v>7</v>
      </c>
      <c r="C57" s="118" t="n">
        <v>10</v>
      </c>
      <c r="D57" s="118" t="n">
        <v>16</v>
      </c>
      <c r="E57" s="118" t="n">
        <v>21</v>
      </c>
      <c r="F57" s="118" t="n">
        <v>24</v>
      </c>
      <c r="G57" s="118" t="n">
        <v>28</v>
      </c>
      <c r="H57" s="118" t="inlineStr">
        <is>
          <t>㎡</t>
        </is>
      </c>
    </row>
    <row r="59" ht="15" customHeight="1" s="95">
      <c r="A59" s="118" t="inlineStr">
        <is>
          <t>[4베이] 평형별 표준 면적 (㎡)</t>
        </is>
      </c>
      <c r="H59" s="118" t="inlineStr">
        <is>
          <t>20~60평</t>
        </is>
      </c>
    </row>
    <row r="60" ht="15" customHeight="1" s="95">
      <c r="A60" s="118" t="inlineStr">
        <is>
          <t>공간</t>
        </is>
      </c>
      <c r="B60" s="118" t="n">
        <v>10</v>
      </c>
      <c r="C60" s="118" t="n">
        <v>20</v>
      </c>
      <c r="D60" s="118" t="n">
        <v>30</v>
      </c>
      <c r="E60" s="118" t="n">
        <v>40</v>
      </c>
      <c r="F60" s="118" t="n">
        <v>50</v>
      </c>
      <c r="G60" s="118" t="n">
        <v>60</v>
      </c>
      <c r="H60" s="118" t="inlineStr">
        <is>
          <t>단위</t>
        </is>
      </c>
    </row>
    <row r="61" ht="15" customHeight="1" s="95">
      <c r="A61" s="118" t="inlineStr">
        <is>
          <t>거실</t>
        </is>
      </c>
      <c r="B61" s="118" t="n">
        <v>7</v>
      </c>
      <c r="C61" s="118" t="n">
        <v>11</v>
      </c>
      <c r="D61" s="118" t="n">
        <v>18</v>
      </c>
      <c r="E61" s="118" t="n">
        <v>27</v>
      </c>
      <c r="F61" s="118" t="n">
        <v>30</v>
      </c>
      <c r="G61" s="118" t="n">
        <v>36</v>
      </c>
      <c r="H61" s="118" t="inlineStr">
        <is>
          <t>㎡</t>
        </is>
      </c>
    </row>
    <row r="62" ht="15" customHeight="1" s="95">
      <c r="A62" s="118" t="inlineStr">
        <is>
          <t>주방</t>
        </is>
      </c>
      <c r="B62" s="118" t="n">
        <v>5</v>
      </c>
      <c r="C62" s="118" t="n">
        <v>7</v>
      </c>
      <c r="D62" s="118" t="n">
        <v>10</v>
      </c>
      <c r="E62" s="118" t="n">
        <v>13</v>
      </c>
      <c r="F62" s="118" t="n">
        <v>16</v>
      </c>
      <c r="G62" s="118" t="n">
        <v>18</v>
      </c>
      <c r="H62" s="118" t="inlineStr">
        <is>
          <t>㎡</t>
        </is>
      </c>
    </row>
    <row r="63" ht="15" customHeight="1" s="95">
      <c r="A63" s="118" t="inlineStr">
        <is>
          <t>안방</t>
        </is>
      </c>
      <c r="B63" s="118" t="n">
        <v>6</v>
      </c>
      <c r="C63" s="118" t="n">
        <v>9</v>
      </c>
      <c r="D63" s="118" t="n">
        <v>13</v>
      </c>
      <c r="E63" s="118" t="n">
        <v>16</v>
      </c>
      <c r="F63" s="118" t="n">
        <v>17</v>
      </c>
      <c r="G63" s="118" t="n">
        <v>19</v>
      </c>
      <c r="H63" s="118" t="inlineStr">
        <is>
          <t>㎡</t>
        </is>
      </c>
    </row>
    <row r="64" ht="15" customHeight="1" s="95">
      <c r="A64" s="118" t="inlineStr">
        <is>
          <t>작방1</t>
        </is>
      </c>
      <c r="B64" s="118" t="n">
        <v>0</v>
      </c>
      <c r="C64" s="118" t="n">
        <v>7</v>
      </c>
      <c r="D64" s="118" t="n">
        <v>9</v>
      </c>
      <c r="E64" s="118" t="n">
        <v>10</v>
      </c>
      <c r="F64" s="118" t="n">
        <v>11</v>
      </c>
      <c r="G64" s="118" t="n">
        <v>13</v>
      </c>
      <c r="H64" s="118" t="inlineStr">
        <is>
          <t>㎡</t>
        </is>
      </c>
    </row>
    <row r="65" ht="15" customHeight="1" s="95">
      <c r="A65" s="118" t="inlineStr">
        <is>
          <t>작방2</t>
        </is>
      </c>
      <c r="B65" s="118" t="n">
        <v>0</v>
      </c>
      <c r="C65" s="118" t="n">
        <v>5</v>
      </c>
      <c r="D65" s="118" t="n">
        <v>8</v>
      </c>
      <c r="E65" s="118" t="n">
        <v>9</v>
      </c>
      <c r="F65" s="118" t="n">
        <v>10</v>
      </c>
      <c r="G65" s="118" t="n">
        <v>11</v>
      </c>
      <c r="H65" s="118" t="inlineStr">
        <is>
          <t>㎡</t>
        </is>
      </c>
    </row>
    <row r="66" ht="15" customHeight="1" s="95">
      <c r="A66" s="118" t="inlineStr">
        <is>
          <t>공용욕실</t>
        </is>
      </c>
      <c r="B66" s="118" t="n">
        <v>3</v>
      </c>
      <c r="C66" s="118" t="n">
        <v>4</v>
      </c>
      <c r="D66" s="118" t="n">
        <v>5</v>
      </c>
      <c r="E66" s="118" t="n">
        <v>6</v>
      </c>
      <c r="F66" s="118" t="n">
        <v>7</v>
      </c>
      <c r="G66" s="118" t="n">
        <v>8</v>
      </c>
      <c r="H66" s="118" t="inlineStr">
        <is>
          <t>㎡</t>
        </is>
      </c>
    </row>
    <row r="67" ht="15" customHeight="1" s="95">
      <c r="A67" s="118" t="inlineStr">
        <is>
          <t>부부욕실</t>
        </is>
      </c>
      <c r="B67" s="118" t="n">
        <v>0</v>
      </c>
      <c r="C67" s="118" t="n">
        <v>0</v>
      </c>
      <c r="D67" s="118" t="n">
        <v>5</v>
      </c>
      <c r="E67" s="118" t="n">
        <v>6</v>
      </c>
      <c r="F67" s="118" t="n">
        <v>7</v>
      </c>
      <c r="G67" s="118" t="n">
        <v>8</v>
      </c>
      <c r="H67" s="118" t="inlineStr">
        <is>
          <t>㎡</t>
        </is>
      </c>
    </row>
    <row r="68" ht="15" customHeight="1" s="95">
      <c r="A68" s="118" t="inlineStr">
        <is>
          <t>현관</t>
        </is>
      </c>
      <c r="B68" s="118" t="n">
        <v>2</v>
      </c>
      <c r="C68" s="118" t="n">
        <v>3</v>
      </c>
      <c r="D68" s="118" t="n">
        <v>4</v>
      </c>
      <c r="E68" s="118" t="n">
        <v>5</v>
      </c>
      <c r="F68" s="118" t="n">
        <v>6</v>
      </c>
      <c r="G68" s="118" t="n">
        <v>7</v>
      </c>
      <c r="H68" s="118" t="inlineStr">
        <is>
          <t>㎡</t>
        </is>
      </c>
    </row>
    <row r="69" ht="15" customHeight="1" s="95">
      <c r="A69" s="118" t="inlineStr">
        <is>
          <t>외부창</t>
        </is>
      </c>
      <c r="B69" s="118" t="n">
        <v>8</v>
      </c>
      <c r="C69" s="118" t="n">
        <v>12</v>
      </c>
      <c r="D69" s="118" t="n">
        <v>18</v>
      </c>
      <c r="E69" s="118" t="n">
        <v>23</v>
      </c>
      <c r="F69" s="118" t="n">
        <v>27</v>
      </c>
      <c r="G69" s="118" t="n">
        <v>32</v>
      </c>
      <c r="H69" s="118" t="inlineStr">
        <is>
          <t>㎡</t>
        </is>
      </c>
    </row>
    <row r="71" ht="15" customHeight="1" s="95">
      <c r="A71" s="118" t="inlineStr">
        <is>
          <t>[5베이] 평형별 표준 면적 (㎡)</t>
        </is>
      </c>
      <c r="H71" s="118" t="inlineStr">
        <is>
          <t>40평+ 권장 (20~30평 추정)</t>
        </is>
      </c>
    </row>
    <row r="72" ht="15" customHeight="1" s="95">
      <c r="A72" s="118" t="inlineStr">
        <is>
          <t>공간</t>
        </is>
      </c>
      <c r="B72" s="118" t="n">
        <v>10</v>
      </c>
      <c r="C72" s="118" t="n">
        <v>20</v>
      </c>
      <c r="D72" s="118" t="n">
        <v>30</v>
      </c>
      <c r="E72" s="118" t="n">
        <v>40</v>
      </c>
      <c r="F72" s="118" t="n">
        <v>50</v>
      </c>
      <c r="G72" s="118" t="n">
        <v>60</v>
      </c>
      <c r="H72" s="118" t="inlineStr">
        <is>
          <t>단위</t>
        </is>
      </c>
    </row>
    <row r="73" ht="15" customHeight="1" s="95">
      <c r="A73" s="118" t="inlineStr">
        <is>
          <t>거실</t>
        </is>
      </c>
      <c r="B73" s="118" t="n">
        <v>7</v>
      </c>
      <c r="C73" s="118" t="n">
        <v>11</v>
      </c>
      <c r="D73" s="118" t="n">
        <v>18</v>
      </c>
      <c r="E73" s="118" t="n">
        <v>25</v>
      </c>
      <c r="F73" s="118" t="n">
        <v>28</v>
      </c>
      <c r="G73" s="118" t="n">
        <v>34</v>
      </c>
      <c r="H73" s="118" t="inlineStr">
        <is>
          <t>㎡</t>
        </is>
      </c>
    </row>
    <row r="74" ht="15" customHeight="1" s="95">
      <c r="A74" s="118" t="inlineStr">
        <is>
          <t>주방</t>
        </is>
      </c>
      <c r="B74" s="118" t="n">
        <v>5</v>
      </c>
      <c r="C74" s="118" t="n">
        <v>7</v>
      </c>
      <c r="D74" s="118" t="n">
        <v>10</v>
      </c>
      <c r="E74" s="118" t="n">
        <v>13</v>
      </c>
      <c r="F74" s="118" t="n">
        <v>16</v>
      </c>
      <c r="G74" s="118" t="n">
        <v>18</v>
      </c>
      <c r="H74" s="118" t="inlineStr">
        <is>
          <t>㎡</t>
        </is>
      </c>
    </row>
    <row r="75" ht="15" customHeight="1" s="95">
      <c r="A75" s="118" t="inlineStr">
        <is>
          <t>안방</t>
        </is>
      </c>
      <c r="B75" s="118" t="n">
        <v>6</v>
      </c>
      <c r="C75" s="118" t="n">
        <v>9</v>
      </c>
      <c r="D75" s="118" t="n">
        <v>12</v>
      </c>
      <c r="E75" s="118" t="n">
        <v>15</v>
      </c>
      <c r="F75" s="118" t="n">
        <v>16</v>
      </c>
      <c r="G75" s="118" t="n">
        <v>18</v>
      </c>
      <c r="H75" s="118" t="inlineStr">
        <is>
          <t>㎡</t>
        </is>
      </c>
    </row>
    <row r="76" ht="15" customHeight="1" s="95">
      <c r="A76" s="118" t="inlineStr">
        <is>
          <t>작방1</t>
        </is>
      </c>
      <c r="B76" s="118" t="n">
        <v>0</v>
      </c>
      <c r="C76" s="118" t="n">
        <v>7</v>
      </c>
      <c r="D76" s="118" t="n">
        <v>9</v>
      </c>
      <c r="E76" s="118" t="n">
        <v>10</v>
      </c>
      <c r="F76" s="118" t="n">
        <v>10</v>
      </c>
      <c r="G76" s="118" t="n">
        <v>11</v>
      </c>
      <c r="H76" s="118" t="inlineStr">
        <is>
          <t>㎡</t>
        </is>
      </c>
    </row>
    <row r="77" ht="15" customHeight="1" s="95">
      <c r="A77" s="118" t="inlineStr">
        <is>
          <t>작방2</t>
        </is>
      </c>
      <c r="B77" s="118" t="n">
        <v>0</v>
      </c>
      <c r="C77" s="118" t="n">
        <v>5</v>
      </c>
      <c r="D77" s="118" t="n">
        <v>8</v>
      </c>
      <c r="E77" s="118" t="n">
        <v>9</v>
      </c>
      <c r="F77" s="118" t="n">
        <v>9</v>
      </c>
      <c r="G77" s="118" t="n">
        <v>10</v>
      </c>
      <c r="H77" s="118" t="inlineStr">
        <is>
          <t>㎡</t>
        </is>
      </c>
    </row>
    <row r="78" ht="15" customHeight="1" s="95">
      <c r="A78" s="118" t="inlineStr">
        <is>
          <t>공용욕실</t>
        </is>
      </c>
      <c r="B78" s="118" t="n">
        <v>3</v>
      </c>
      <c r="C78" s="118" t="n">
        <v>4</v>
      </c>
      <c r="D78" s="118" t="n">
        <v>5</v>
      </c>
      <c r="E78" s="118" t="n">
        <v>6</v>
      </c>
      <c r="F78" s="118" t="n">
        <v>7</v>
      </c>
      <c r="G78" s="118" t="n">
        <v>8</v>
      </c>
      <c r="H78" s="118" t="inlineStr">
        <is>
          <t>㎡</t>
        </is>
      </c>
    </row>
    <row r="79" ht="15" customHeight="1" s="95">
      <c r="A79" s="118" t="inlineStr">
        <is>
          <t>부부욕실</t>
        </is>
      </c>
      <c r="B79" s="118" t="n">
        <v>0</v>
      </c>
      <c r="C79" s="118" t="n">
        <v>0</v>
      </c>
      <c r="D79" s="118" t="n">
        <v>5</v>
      </c>
      <c r="E79" s="118" t="n">
        <v>6</v>
      </c>
      <c r="F79" s="118" t="n">
        <v>7</v>
      </c>
      <c r="G79" s="118" t="n">
        <v>8</v>
      </c>
      <c r="H79" s="118" t="inlineStr">
        <is>
          <t>㎡</t>
        </is>
      </c>
    </row>
    <row r="80" ht="15" customHeight="1" s="95">
      <c r="A80" s="118" t="inlineStr">
        <is>
          <t>현관</t>
        </is>
      </c>
      <c r="B80" s="118" t="n">
        <v>2</v>
      </c>
      <c r="C80" s="118" t="n">
        <v>3</v>
      </c>
      <c r="D80" s="118" t="n">
        <v>4</v>
      </c>
      <c r="E80" s="118" t="n">
        <v>5</v>
      </c>
      <c r="F80" s="118" t="n">
        <v>6</v>
      </c>
      <c r="G80" s="118" t="n">
        <v>7</v>
      </c>
      <c r="H80" s="118" t="inlineStr">
        <is>
          <t>㎡</t>
        </is>
      </c>
    </row>
    <row r="81" ht="15" customHeight="1" s="95">
      <c r="A81" s="118" t="inlineStr">
        <is>
          <t>외부창</t>
        </is>
      </c>
      <c r="B81" s="118" t="n">
        <v>8</v>
      </c>
      <c r="C81" s="118" t="n">
        <v>14</v>
      </c>
      <c r="D81" s="118" t="n">
        <v>20</v>
      </c>
      <c r="E81" s="118" t="n">
        <v>26</v>
      </c>
      <c r="F81" s="118" t="n">
        <v>30</v>
      </c>
      <c r="G81" s="118" t="n">
        <v>35</v>
      </c>
      <c r="H81" s="118" t="inlineStr">
        <is>
          <t>㎡</t>
        </is>
      </c>
    </row>
  </sheetData>
  <mergeCells count="5">
    <mergeCell ref="A12:H12"/>
    <mergeCell ref="A25:H25"/>
    <mergeCell ref="I1:K1"/>
    <mergeCell ref="A1:H1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9.17" customWidth="1" style="94" min="2" max="7"/>
    <col width="20.18" customWidth="1" style="94" min="8" max="8"/>
  </cols>
  <sheetData>
    <row r="1" ht="13.25" customHeight="1" s="95">
      <c r="A1" s="129" t="inlineStr">
        <is>
          <t>공사범위 선택 (공간×공종 매트릭스, Y/N)</t>
        </is>
      </c>
    </row>
    <row r="2" ht="15" customHeight="1" s="95">
      <c r="A2" s="116" t="inlineStr">
        <is>
          <t>공간</t>
        </is>
      </c>
      <c r="B2" s="116" t="inlineStr">
        <is>
          <t>바닥재</t>
        </is>
      </c>
      <c r="C2" s="116" t="inlineStr">
        <is>
          <t>도배</t>
        </is>
      </c>
      <c r="D2" s="116" t="inlineStr">
        <is>
          <t>몰딩</t>
        </is>
      </c>
      <c r="E2" s="116" t="inlineStr">
        <is>
          <t>에어컨</t>
        </is>
      </c>
      <c r="F2" s="116" t="inlineStr">
        <is>
          <t>붙박이장</t>
        </is>
      </c>
      <c r="G2" s="116" t="inlineStr">
        <is>
          <t>실링팬</t>
        </is>
      </c>
    </row>
    <row r="3" ht="15" customHeight="1" s="95">
      <c r="A3" s="116" t="inlineStr">
        <is>
          <t>거실</t>
        </is>
      </c>
      <c r="B3" s="116">
        <f>우리집!D22</f>
        <v/>
      </c>
      <c r="C3" s="116">
        <f>우리집!E22</f>
        <v/>
      </c>
      <c r="D3" s="116">
        <f>우리집!F22</f>
        <v/>
      </c>
      <c r="E3" s="116">
        <f>우리집!G22</f>
        <v/>
      </c>
      <c r="F3" s="116">
        <f>우리집!H22</f>
        <v/>
      </c>
      <c r="G3" s="116">
        <f>우리집!I22</f>
        <v/>
      </c>
    </row>
    <row r="4" ht="15" customHeight="1" s="95">
      <c r="A4" s="116" t="inlineStr">
        <is>
          <t>주방</t>
        </is>
      </c>
      <c r="B4" s="116">
        <f>우리집!D23</f>
        <v/>
      </c>
      <c r="C4" s="116">
        <f>우리집!E23</f>
        <v/>
      </c>
      <c r="D4" s="116">
        <f>우리집!F23</f>
        <v/>
      </c>
      <c r="E4" s="116">
        <f>우리집!G23</f>
        <v/>
      </c>
      <c r="F4" s="116">
        <f>우리집!H23</f>
        <v/>
      </c>
      <c r="G4" s="116">
        <f>우리집!I23</f>
        <v/>
      </c>
    </row>
    <row r="5" ht="15" customHeight="1" s="95">
      <c r="A5" s="116" t="inlineStr">
        <is>
          <t>안방</t>
        </is>
      </c>
      <c r="B5" s="116">
        <f>우리집!D24</f>
        <v/>
      </c>
      <c r="C5" s="116">
        <f>우리집!E24</f>
        <v/>
      </c>
      <c r="D5" s="116">
        <f>우리집!F24</f>
        <v/>
      </c>
      <c r="E5" s="116">
        <f>우리집!G24</f>
        <v/>
      </c>
      <c r="F5" s="116">
        <f>우리집!H24</f>
        <v/>
      </c>
      <c r="G5" s="116">
        <f>우리집!I24</f>
        <v/>
      </c>
    </row>
    <row r="6" ht="15" customHeight="1" s="95">
      <c r="A6" s="116" t="inlineStr">
        <is>
          <t>작은방1</t>
        </is>
      </c>
      <c r="B6" s="116">
        <f>우리집!D25</f>
        <v/>
      </c>
      <c r="C6" s="116">
        <f>우리집!E25</f>
        <v/>
      </c>
      <c r="D6" s="116">
        <f>우리집!F25</f>
        <v/>
      </c>
      <c r="E6" s="116">
        <f>우리집!G25</f>
        <v/>
      </c>
      <c r="F6" s="116">
        <f>우리집!H25</f>
        <v/>
      </c>
      <c r="G6" s="116">
        <f>우리집!I25</f>
        <v/>
      </c>
    </row>
    <row r="7" ht="15" customHeight="1" s="95">
      <c r="A7" s="116" t="inlineStr">
        <is>
          <t>작은방2</t>
        </is>
      </c>
      <c r="B7" s="116">
        <f>우리집!D26</f>
        <v/>
      </c>
      <c r="C7" s="116">
        <f>우리집!E26</f>
        <v/>
      </c>
      <c r="D7" s="116">
        <f>우리집!F26</f>
        <v/>
      </c>
      <c r="E7" s="116">
        <f>우리집!G26</f>
        <v/>
      </c>
      <c r="F7" s="116">
        <f>우리집!H26</f>
        <v/>
      </c>
      <c r="G7" s="116">
        <f>우리집!I26</f>
        <v/>
      </c>
    </row>
    <row r="8" ht="15" customHeight="1" s="95">
      <c r="A8" s="116" t="n"/>
      <c r="B8" s="116" t="n"/>
      <c r="C8" s="116" t="n"/>
      <c r="D8" s="116" t="n"/>
      <c r="E8" s="116" t="n"/>
      <c r="F8" s="116" t="n"/>
      <c r="G8" s="116" t="n"/>
    </row>
    <row r="9" ht="15" customHeight="1" s="95">
      <c r="A9" s="116" t="inlineStr">
        <is>
          <t>[전체 공종 — 단일 입력]</t>
        </is>
      </c>
      <c r="B9" s="146" t="n"/>
      <c r="C9" s="147" t="n"/>
      <c r="D9" s="116" t="n"/>
      <c r="E9" s="116" t="n"/>
      <c r="F9" s="116" t="n"/>
      <c r="G9" s="116" t="n"/>
    </row>
    <row r="10" ht="15" customHeight="1" s="95">
      <c r="A10" s="94" t="inlineStr">
        <is>
          <t>철거공사</t>
        </is>
      </c>
      <c r="B10" s="94">
        <f>우리집!B30</f>
        <v/>
      </c>
      <c r="C10" s="94" t="inlineStr">
        <is>
          <t>전용면적 전체</t>
        </is>
      </c>
    </row>
    <row r="11" ht="15" customHeight="1" s="95">
      <c r="A11" s="118" t="inlineStr">
        <is>
          <t>단열공사</t>
        </is>
      </c>
      <c r="B11" s="94">
        <f>우리집!B32</f>
        <v/>
      </c>
      <c r="C11" s="94" t="inlineStr">
        <is>
          <t>전용면적 전체</t>
        </is>
      </c>
    </row>
    <row r="12" ht="15" customHeight="1" s="95">
      <c r="A12" s="116" t="inlineStr">
        <is>
          <t>샷시 교체</t>
        </is>
      </c>
      <c r="B12" s="116">
        <f>우리집!B33</f>
        <v/>
      </c>
      <c r="C12" s="116" t="inlineStr">
        <is>
          <t>외부창 면적 (전용 × 0.18)</t>
        </is>
      </c>
    </row>
    <row r="13" ht="15" customHeight="1" s="95">
      <c r="A13" s="116" t="inlineStr">
        <is>
          <t>공용욕실 세트</t>
        </is>
      </c>
      <c r="B13" s="116">
        <f>우리집!B34</f>
        <v/>
      </c>
      <c r="C13" s="116" t="inlineStr">
        <is>
          <t>공용욕실 개수만큼</t>
        </is>
      </c>
    </row>
    <row r="14" hidden="1" ht="15" customHeight="1" s="95">
      <c r="A14" s="143" t="inlineStr">
        <is>
          <t>부부욕실 세트</t>
        </is>
      </c>
      <c r="B14" s="148">
        <f>우리집!B35</f>
        <v/>
      </c>
      <c r="C14" s="116" t="inlineStr">
        <is>
          <t>부부욕실 유무 (0/1)</t>
        </is>
      </c>
    </row>
    <row r="15" ht="15" customHeight="1" s="95">
      <c r="A15" s="116" t="inlineStr">
        <is>
          <t>주방가구</t>
        </is>
      </c>
      <c r="B15" s="116">
        <f>우리집!B36</f>
        <v/>
      </c>
      <c r="C15" s="116" t="inlineStr">
        <is>
          <t>3.6m 환산</t>
        </is>
      </c>
    </row>
    <row r="16" ht="15" customHeight="1" s="95">
      <c r="A16" s="116" t="inlineStr">
        <is>
          <t>중문</t>
        </is>
      </c>
      <c r="B16" s="116">
        <f>우리집!B37</f>
        <v/>
      </c>
      <c r="C16" s="116" t="inlineStr">
        <is>
          <t>1ea</t>
        </is>
      </c>
    </row>
    <row r="17" ht="15" customHeight="1" s="95">
      <c r="A17" s="116" t="inlineStr">
        <is>
          <t>일반가구(현관)</t>
        </is>
      </c>
      <c r="B17" s="116">
        <f>우리집!B38</f>
        <v/>
      </c>
      <c r="C17" s="116" t="inlineStr">
        <is>
          <t>1ea</t>
        </is>
      </c>
    </row>
    <row r="18" ht="15" customHeight="1" s="95">
      <c r="A18" s="116" t="inlineStr">
        <is>
          <t>조명 풀세트</t>
        </is>
      </c>
      <c r="B18" s="116">
        <f>우리집!B39</f>
        <v/>
      </c>
      <c r="C18" s="116" t="inlineStr">
        <is>
          <t>1set (개별 등기구로 대체 시 N)</t>
        </is>
      </c>
    </row>
    <row r="19" ht="15" customHeight="1" s="95">
      <c r="A19" s="116" t="inlineStr">
        <is>
          <t>천정 목공사</t>
        </is>
      </c>
      <c r="B19" s="116">
        <f>우리집!B40</f>
        <v/>
      </c>
      <c r="C19" s="116" t="inlineStr">
        <is>
          <t>거실 면적 기준</t>
        </is>
      </c>
    </row>
    <row r="20" ht="15" customHeight="1" s="95">
      <c r="A20" s="116" t="inlineStr">
        <is>
          <t>가벽 신설</t>
        </is>
      </c>
      <c r="B20" s="116">
        <f>우리집!B41</f>
        <v/>
      </c>
      <c r="C20" s="116" t="inlineStr">
        <is>
          <t>1㎡ 가정</t>
        </is>
      </c>
    </row>
    <row r="21" ht="15" customHeight="1" s="95">
      <c r="A21" s="116" t="inlineStr">
        <is>
          <t>에어컨 실외기 (자동)</t>
        </is>
      </c>
      <c r="B21" s="116">
        <f>IF(COUNTIF(E3:E7,"Y")&gt;0,"Y","N")</f>
        <v/>
      </c>
      <c r="C21" s="116" t="inlineStr">
        <is>
          <t>시스템에어컨 ON 공간 있으면 자동 Y</t>
        </is>
      </c>
    </row>
    <row r="22" ht="15" customHeight="1" s="95">
      <c r="A22" s="116" t="inlineStr">
        <is>
          <t>샷시 (자동 — 확장 시 강제)</t>
        </is>
      </c>
      <c r="B22" s="116">
        <f>B12</f>
        <v/>
      </c>
      <c r="C22" s="116" t="inlineStr">
        <is>
          <t>외부창 면적 (전용 × 0.18). 확장 시 발코니 측 새 외부창은 자동 산정(산출 #82). 전체 샷시 교체 ON 시 비확장 공간 외부창만 추가.</t>
        </is>
      </c>
    </row>
    <row r="23" ht="15" customHeight="1" s="95">
      <c r="A23" s="116" t="inlineStr">
        <is>
          <t>스위치/콘센트 교체</t>
        </is>
      </c>
      <c r="B23" s="116">
        <f>우리집!B44</f>
        <v/>
      </c>
      <c r="C23" s="116" t="inlineStr">
        <is>
          <t>평형별 자동 산출 (10평 18ea → 30평 34ea → 60평 56ea)</t>
        </is>
      </c>
    </row>
    <row r="24" ht="15" customHeight="1" s="95">
      <c r="A24" s="116" t="inlineStr">
        <is>
          <t>인덕션 전용선</t>
        </is>
      </c>
      <c r="B24" s="143">
        <f>우리집!B45</f>
        <v/>
      </c>
      <c r="C24" s="116" t="inlineStr">
        <is>
          <t>220V 인덕션 전용선 신설 (분전반→주방, 50만원 기본)</t>
        </is>
      </c>
    </row>
    <row r="25" ht="15" customHeight="1" s="95">
      <c r="A25" s="116" t="inlineStr">
        <is>
          <t>구청 확장공사 신고 (도면+신고대행)</t>
        </is>
      </c>
      <c r="B25" s="116">
        <f>우리집!B46</f>
        <v/>
      </c>
      <c r="C25" s="143" t="inlineStr">
        <is>
          <t>확장 시 권장 — 신고 미이행 시 과태료. 확장 없으면 자동 0원.</t>
        </is>
      </c>
    </row>
    <row r="26" ht="15" customHeight="1" s="95">
      <c r="A26" s="116" t="inlineStr">
        <is>
          <t>분배기 교체</t>
        </is>
      </c>
      <c r="B26" s="116">
        <f>우리집!B47</f>
        <v/>
      </c>
      <c r="C26" s="143" t="inlineStr">
        <is>
          <t>난방 분배기 교체 (50만원)</t>
        </is>
      </c>
    </row>
    <row r="27" ht="15" customHeight="1" s="95">
      <c r="A27" s="116" t="inlineStr">
        <is>
          <t>배관 변경</t>
        </is>
      </c>
      <c r="B27" s="116">
        <f>우리집!B48</f>
        <v/>
      </c>
      <c r="C27" s="143" t="inlineStr">
        <is>
          <t>주방 위치 변경 등 배관 변경 (50만원)</t>
        </is>
      </c>
    </row>
    <row r="28" ht="15" customHeight="1" s="95">
      <c r="A28" s="118" t="inlineStr">
        <is>
          <t>난방온도조절기 교체</t>
        </is>
      </c>
      <c r="B28" s="118">
        <f>우리집!B49</f>
        <v/>
      </c>
      <c r="C28" s="129" t="inlineStr">
        <is>
          <t>거실+방 자동 산정 (평형별 ea)</t>
        </is>
      </c>
    </row>
    <row r="29" ht="15" customHeight="1" s="95">
      <c r="A29" s="118" t="inlineStr">
        <is>
          <t>난방배관 교체</t>
        </is>
      </c>
      <c r="B29" s="118">
        <f>우리집!B31</f>
        <v/>
      </c>
      <c r="C29" s="118" t="inlineStr">
        <is>
          <t>공급평 × 30만원. 우리집 전체공종 토글 연동.</t>
        </is>
      </c>
    </row>
    <row r="30" ht="15" customHeight="1" s="95">
      <c r="A30" s="118" t="n"/>
      <c r="B30" s="118" t="n"/>
      <c r="C30" s="118" t="n"/>
    </row>
    <row r="31" ht="15" customHeight="1" s="95">
      <c r="A31" s="118" t="n"/>
      <c r="B31" s="118" t="n"/>
      <c r="C31" s="118" t="n"/>
    </row>
  </sheetData>
  <mergeCells count="2">
    <mergeCell ref="A9:C9"/>
    <mergeCell ref="A1:H1"/>
  </mergeCells>
  <dataValidations count="4">
    <dataValidation sqref="B3:G9" showDropDown="0" showInputMessage="0" showErrorMessage="0" allowBlank="0" type="list" errorStyle="stop" operator="between">
      <formula1>"Y,N,-"</formula1>
      <formula2>0</formula2>
    </dataValidation>
    <dataValidation sqref="B12:B23" showDropDown="0" showInputMessage="0" showErrorMessage="0" allowBlank="0" type="list" errorStyle="stop" operator="between">
      <formula1>"Y,N"</formula1>
      <formula2>0</formula2>
    </dataValidation>
    <dataValidation sqref="B26" showDropDown="0" showInputMessage="0" showErrorMessage="0" allowBlank="0" type="list" errorStyle="stop" operator="between">
      <formula1>"Y,N"</formula1>
      <formula2>0</formula2>
    </dataValidation>
    <dataValidation sqref="B27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3"/>
    <col width="11.01" customWidth="1" style="94" min="4" max="5"/>
  </cols>
  <sheetData>
    <row r="1" ht="27.75" customHeight="1" s="95">
      <c r="A1" s="118" t="inlineStr">
        <is>
          <t>욕실 컴포넌트 설정 (등급·적용여부)</t>
        </is>
      </c>
    </row>
    <row r="3" ht="15" customHeight="1" s="95">
      <c r="A3" s="116" t="inlineStr">
        <is>
          <t>컴포넌트</t>
        </is>
      </c>
      <c r="B3" s="116" t="inlineStr">
        <is>
          <t>공용욕실 등급</t>
        </is>
      </c>
      <c r="C3" s="116" t="inlineStr">
        <is>
          <t>부부욕실 등급</t>
        </is>
      </c>
      <c r="D3" s="116" t="inlineStr">
        <is>
          <t>공용 적용</t>
        </is>
      </c>
      <c r="E3" s="116" t="inlineStr">
        <is>
          <t>부부 적용</t>
        </is>
      </c>
    </row>
    <row r="4" ht="15" customHeight="1" s="95">
      <c r="A4" s="116" t="inlineStr">
        <is>
          <t>젠다이</t>
        </is>
      </c>
      <c r="B4" s="116">
        <f>우리집!B87</f>
        <v/>
      </c>
      <c r="C4" s="116">
        <f>우리집!B101</f>
        <v/>
      </c>
      <c r="D4" s="116">
        <f>우리집!C87</f>
        <v/>
      </c>
      <c r="E4" s="116">
        <f>우리집!C101</f>
        <v/>
      </c>
    </row>
    <row r="5" ht="15" customHeight="1" s="95">
      <c r="A5" s="116" t="inlineStr">
        <is>
          <t>방수</t>
        </is>
      </c>
      <c r="B5" s="116">
        <f>우리집!B88</f>
        <v/>
      </c>
      <c r="C5" s="116">
        <f>우리집!B102</f>
        <v/>
      </c>
      <c r="D5" s="116">
        <f>우리집!C88</f>
        <v/>
      </c>
      <c r="E5" s="116">
        <f>우리집!C102</f>
        <v/>
      </c>
    </row>
    <row r="6" ht="15" customHeight="1" s="95">
      <c r="A6" s="116" t="inlineStr">
        <is>
          <t>타일자재</t>
        </is>
      </c>
      <c r="B6" s="116">
        <f>우리집!B89</f>
        <v/>
      </c>
      <c r="C6" s="116">
        <f>우리집!B103</f>
        <v/>
      </c>
      <c r="D6" s="116">
        <f>우리집!C89</f>
        <v/>
      </c>
      <c r="E6" s="116">
        <f>우리집!C103</f>
        <v/>
      </c>
    </row>
    <row r="7" ht="15" customHeight="1" s="95">
      <c r="A7" s="116" t="inlineStr">
        <is>
          <t>타일시공</t>
        </is>
      </c>
      <c r="B7" s="116">
        <f>우리집!B90</f>
        <v/>
      </c>
      <c r="C7" s="116">
        <f>우리집!B104</f>
        <v/>
      </c>
      <c r="D7" s="116">
        <f>우리집!C90</f>
        <v/>
      </c>
      <c r="E7" s="116">
        <f>우리집!C104</f>
        <v/>
      </c>
    </row>
    <row r="8" ht="15" customHeight="1" s="95">
      <c r="A8" s="116" t="inlineStr">
        <is>
          <t>파티션</t>
        </is>
      </c>
      <c r="B8" s="116">
        <f>우리집!B91</f>
        <v/>
      </c>
      <c r="C8" s="116">
        <f>우리집!B105</f>
        <v/>
      </c>
      <c r="D8" s="116">
        <f>우리집!C91</f>
        <v/>
      </c>
      <c r="E8" s="116">
        <f>우리집!C105</f>
        <v/>
      </c>
    </row>
    <row r="9" ht="15" customHeight="1" s="95">
      <c r="A9" s="116" t="inlineStr">
        <is>
          <t>천정</t>
        </is>
      </c>
      <c r="B9" s="116">
        <f>우리집!B92</f>
        <v/>
      </c>
      <c r="C9" s="116">
        <f>우리집!B106</f>
        <v/>
      </c>
      <c r="D9" s="116">
        <f>우리집!C92</f>
        <v/>
      </c>
      <c r="E9" s="116">
        <f>우리집!C106</f>
        <v/>
      </c>
    </row>
    <row r="10" ht="15" customHeight="1" s="95">
      <c r="A10" s="116" t="inlineStr">
        <is>
          <t>세면대</t>
        </is>
      </c>
      <c r="B10" s="116">
        <f>우리집!B93</f>
        <v/>
      </c>
      <c r="C10" s="116">
        <f>우리집!B107</f>
        <v/>
      </c>
      <c r="D10" s="116">
        <f>우리집!C93</f>
        <v/>
      </c>
      <c r="E10" s="116">
        <f>우리집!C107</f>
        <v/>
      </c>
    </row>
    <row r="11" ht="15" customHeight="1" s="95">
      <c r="A11" s="116" t="inlineStr">
        <is>
          <t>수전</t>
        </is>
      </c>
      <c r="B11" s="116">
        <f>우리집!B94</f>
        <v/>
      </c>
      <c r="C11" s="116">
        <f>우리집!B108</f>
        <v/>
      </c>
      <c r="D11" s="116">
        <f>우리집!C94</f>
        <v/>
      </c>
      <c r="E11" s="116">
        <f>우리집!C108</f>
        <v/>
      </c>
    </row>
    <row r="12" ht="15" customHeight="1" s="95">
      <c r="A12" s="116" t="inlineStr">
        <is>
          <t>양변기</t>
        </is>
      </c>
      <c r="B12" s="116">
        <f>우리집!B95</f>
        <v/>
      </c>
      <c r="C12" s="116">
        <f>우리집!B109</f>
        <v/>
      </c>
      <c r="D12" s="116">
        <f>우리집!C95</f>
        <v/>
      </c>
      <c r="E12" s="116">
        <f>우리집!C109</f>
        <v/>
      </c>
    </row>
    <row r="13" ht="15" customHeight="1" s="95">
      <c r="A13" s="116" t="inlineStr">
        <is>
          <t>악세사리</t>
        </is>
      </c>
      <c r="B13" s="116">
        <f>우리집!B96</f>
        <v/>
      </c>
      <c r="C13" s="116">
        <f>우리집!B110</f>
        <v/>
      </c>
      <c r="D13" s="116">
        <f>우리집!C96</f>
        <v/>
      </c>
      <c r="E13" s="116">
        <f>우리집!C110</f>
        <v/>
      </c>
    </row>
    <row r="14" ht="15" customHeight="1" s="95">
      <c r="A14" s="116" t="inlineStr">
        <is>
          <t>줄눈</t>
        </is>
      </c>
      <c r="B14" s="116">
        <f>우리집!B97</f>
        <v/>
      </c>
      <c r="C14" s="116">
        <f>우리집!B111</f>
        <v/>
      </c>
      <c r="D14" s="116">
        <f>우리집!C97</f>
        <v/>
      </c>
      <c r="E14" s="116">
        <f>우리집!C111</f>
        <v/>
      </c>
    </row>
    <row r="15" ht="49.5" customHeight="1" s="95">
      <c r="A15" s="118" t="inlineStr">
        <is>
          <t>안내</t>
        </is>
      </c>
      <c r="B15" s="129" t="inlineStr">
        <is>
          <t>등급 셀에 '기본'을 두면 우리집 시트의 욕실 등급(공용 B16, 부부 B17)을 따릅니다. 특정 컴포넌트만 다른 등급을 원할 때 직접 가성비/표준/고급 선택. 적용 N으로 두면 해당 컴포넌트는 견적에서 제외됩니다. 악세사리 = 수건걸이+변기솔+청소수전 set. 줄눈 = 가성비(백시멘트)/표준(아덱스FG4)/고급(케라폭시 에폭시).</t>
        </is>
      </c>
    </row>
  </sheetData>
  <mergeCells count="2">
    <mergeCell ref="B15:E15"/>
    <mergeCell ref="A1:E1"/>
  </mergeCells>
  <dataValidations count="2">
    <dataValidation sqref="B4:C14" showDropDown="0" showInputMessage="0" showErrorMessage="0" allowBlank="0" type="list" errorStyle="stop" operator="between">
      <formula1>"기본,가성비,표준,고급"</formula1>
      <formula2>0</formula2>
    </dataValidation>
    <dataValidation sqref="D4:E14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2"/>
    <col width="11.01" customWidth="1" style="94" min="3" max="3"/>
  </cols>
  <sheetData>
    <row r="1" ht="27.75" customHeight="1" s="95">
      <c r="A1" s="118" t="inlineStr">
        <is>
          <t>주방가구 컴포넌트 설정</t>
        </is>
      </c>
    </row>
    <row r="3" ht="15" customHeight="1" s="95">
      <c r="A3" s="116" t="inlineStr">
        <is>
          <t>컴포넌트</t>
        </is>
      </c>
      <c r="B3" s="116" t="inlineStr">
        <is>
          <t>등급</t>
        </is>
      </c>
      <c r="C3" s="116" t="inlineStr">
        <is>
          <t>적용여부</t>
        </is>
      </c>
    </row>
    <row r="4" ht="15" customHeight="1" s="95">
      <c r="A4" s="116" t="inlineStr">
        <is>
          <t>미드웨이</t>
        </is>
      </c>
      <c r="B4" s="116">
        <f>우리집!B121</f>
        <v/>
      </c>
      <c r="C4" s="116">
        <f>우리집!C121</f>
        <v/>
      </c>
    </row>
    <row r="5" ht="15" customHeight="1" s="95">
      <c r="A5" s="116" t="inlineStr">
        <is>
          <t>도어 (세트 통합 — 미사용)</t>
        </is>
      </c>
      <c r="B5" s="116">
        <f>우리집!B122</f>
        <v/>
      </c>
      <c r="C5" s="116">
        <f>우리집!C122</f>
        <v/>
      </c>
    </row>
    <row r="6" ht="15" customHeight="1" s="95">
      <c r="A6" s="116" t="inlineStr">
        <is>
          <t>상판</t>
        </is>
      </c>
      <c r="B6" s="116">
        <f>우리집!B123</f>
        <v/>
      </c>
      <c r="C6" s="116">
        <f>우리집!C123</f>
        <v/>
      </c>
    </row>
    <row r="7" ht="15" customHeight="1" s="95">
      <c r="A7" s="116" t="inlineStr">
        <is>
          <t>하드웨어</t>
        </is>
      </c>
      <c r="B7" s="116">
        <f>우리집!B124</f>
        <v/>
      </c>
      <c r="C7" s="116">
        <f>우리집!C124</f>
        <v/>
      </c>
    </row>
    <row r="8" ht="15" customHeight="1" s="95">
      <c r="A8" s="116" t="inlineStr">
        <is>
          <t>후드</t>
        </is>
      </c>
      <c r="B8" s="116">
        <f>우리집!B125</f>
        <v/>
      </c>
      <c r="C8" s="116">
        <f>우리집!C125</f>
        <v/>
      </c>
    </row>
    <row r="9" ht="15" customHeight="1" s="95">
      <c r="A9" s="116" t="inlineStr">
        <is>
          <t>싱크볼</t>
        </is>
      </c>
      <c r="B9" s="116">
        <f>우리집!B126</f>
        <v/>
      </c>
      <c r="C9" s="116">
        <f>우리집!C126</f>
        <v/>
      </c>
    </row>
    <row r="10" ht="15" customHeight="1" s="95">
      <c r="A10" s="116" t="inlineStr">
        <is>
          <t>주방가구 세트 (몸체+도어)</t>
        </is>
      </c>
      <c r="B10" s="116">
        <f>우리집!B127</f>
        <v/>
      </c>
      <c r="C10" s="116">
        <f>우리집!C127</f>
        <v/>
      </c>
    </row>
    <row r="12" ht="69.75" customHeight="1" s="95">
      <c r="A12" s="118" t="inlineStr">
        <is>
          <t>안내</t>
        </is>
      </c>
      <c r="B12" s="129" t="inlineStr">
        <is>
          <t>등급 셀에 '기본'을 두면 우리집 시트의 주방가구 등급(B18)을 따릅니다. 특정 컴포넌트만 다른 등급 원할 때 직접 지정. 적용 N으로 두면 견적에서 제외. 몸체·미드웨이·도어·상판: 우리집!B31의 주방가구 길이 × m당 단가. 하드웨어: 길이 × 4.5 set/m. 후드·싱크볼은 자재만 (시공은 주방가구 시공에 포함).</t>
        </is>
      </c>
    </row>
  </sheetData>
  <mergeCells count="2">
    <mergeCell ref="A1:C1"/>
    <mergeCell ref="B12:C12"/>
  </mergeCells>
  <dataValidations count="2">
    <dataValidation sqref="B4:B10" showDropDown="0" showInputMessage="0" showErrorMessage="0" allowBlank="0" type="list" errorStyle="stop" operator="between">
      <formula1>"기본,가성비,표준,고급"</formula1>
      <formula2>0</formula2>
    </dataValidation>
    <dataValidation sqref="C4:C10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2"/>
    <col width="14.68" customWidth="1" style="94" min="3" max="3"/>
    <col width="9.17" customWidth="1" style="94" min="4" max="5"/>
    <col width="14.68" customWidth="1" style="94" min="6" max="6"/>
    <col width="12.84" customWidth="1" style="94" min="7" max="7"/>
  </cols>
  <sheetData>
    <row r="1" ht="27.75" customHeight="1" s="95">
      <c r="A1" s="129" t="inlineStr">
        <is>
          <t>확장공사 설정 (베이 형태 + 공간별 확장 전/후)</t>
        </is>
      </c>
    </row>
    <row r="3" ht="15" customHeight="1" s="95">
      <c r="A3" s="116" t="inlineStr">
        <is>
          <t>베이 형태</t>
        </is>
      </c>
      <c r="B3" s="116">
        <f>우리집!$B$9</f>
        <v/>
      </c>
      <c r="C3" s="129" t="inlineStr">
        <is>
          <t>우리집!B10에서 자동 동기화 (직접 수정 X)</t>
        </is>
      </c>
    </row>
    <row r="4" ht="15" customHeight="1" s="95">
      <c r="A4" s="116" t="inlineStr">
        <is>
          <t>발코니 깊이 (m)</t>
        </is>
      </c>
      <c r="B4" s="116">
        <f>우리집!$B$19</f>
        <v/>
      </c>
      <c r="C4" s="118" t="inlineStr">
        <is>
          <t>표준 1.5m. 단지별 차이 시 수정</t>
        </is>
      </c>
    </row>
    <row r="6" ht="15" customHeight="1" s="95">
      <c r="A6" s="116" t="inlineStr">
        <is>
          <t>공간</t>
        </is>
      </c>
      <c r="B6" s="116" t="inlineStr">
        <is>
          <t>베이별 폭(m)</t>
        </is>
      </c>
      <c r="C6" s="116" t="inlineStr">
        <is>
          <t>발코니 면적(㎡)</t>
        </is>
      </c>
      <c r="D6" s="116" t="inlineStr">
        <is>
          <t>확장 전</t>
        </is>
      </c>
      <c r="E6" s="116" t="inlineStr">
        <is>
          <t>확장 후</t>
        </is>
      </c>
      <c r="F6" s="116" t="inlineStr">
        <is>
          <t>추가확장(㎡)</t>
        </is>
      </c>
    </row>
    <row r="7" ht="15" customHeight="1" s="95">
      <c r="A7" s="116" t="inlineStr">
        <is>
          <t>거실</t>
        </is>
      </c>
      <c r="B7" s="149">
        <f>SQRT(INDEX(표준면적!$B$3:$G$10,1,MATCH(표준면적!$J$2,표준면적!$B$2:$G$2,0))+(INDEX(표준면적!$B$3:$G$10,1,MATCH(표준면적!$J$2,표준면적!$B$2:$G$2,0)+1)-INDEX(표준면적!$B$3:$G$10,1,MATCH(표준면적!$J$2,표준면적!$B$2:$G$2,0)))*표준면적!$J$4)*(IF($B$3=2,1.4,IF($B$3=3,1,0.85)))</f>
        <v/>
      </c>
      <c r="C7" s="150">
        <f>B7*$B$4</f>
        <v/>
      </c>
      <c r="D7" s="116">
        <f>우리집!B22</f>
        <v/>
      </c>
      <c r="E7" s="116">
        <f>우리집!C22</f>
        <v/>
      </c>
      <c r="F7" s="151">
        <f>IF(AND(D7="N",E7="Y"),C7,0)</f>
        <v/>
      </c>
    </row>
    <row r="8" ht="15" customHeight="1" s="95">
      <c r="A8" s="116" t="inlineStr">
        <is>
          <t>안방</t>
        </is>
      </c>
      <c r="B8" s="149">
        <f>SQRT(INDEX(표준면적!$B$3:$G$10,3,MATCH(표준면적!$J$2,표준면적!$B$2:$G$2,0))+(INDEX(표준면적!$B$3:$G$10,3,MATCH(표준면적!$J$2,표준면적!$B$2:$G$2,0)+1)-INDEX(표준면적!$B$3:$G$10,3,MATCH(표준면적!$J$2,표준면적!$B$2:$G$2,0)))*표준면적!$J$4)*(IF($B$3=2,1,IF($B$3=3,0.95,0.9)))</f>
        <v/>
      </c>
      <c r="C8" s="150">
        <f>B8*$B$4</f>
        <v/>
      </c>
      <c r="D8" s="116">
        <f>우리집!B24</f>
        <v/>
      </c>
      <c r="E8" s="116">
        <f>우리집!C24</f>
        <v/>
      </c>
      <c r="F8" s="151">
        <f>IF(AND(D8="N",E8="Y"),C8,0)</f>
        <v/>
      </c>
    </row>
    <row r="9" ht="15" customHeight="1" s="95">
      <c r="A9" s="116" t="inlineStr">
        <is>
          <t>작은방1</t>
        </is>
      </c>
      <c r="B9" s="149">
        <f>SQRT(INDEX(표준면적!$B$3:$G$10,4,MATCH(표준면적!$J$2,표준면적!$B$2:$G$2,0))+(INDEX(표준면적!$B$3:$G$10,4,MATCH(표준면적!$J$2,표준면적!$B$2:$G$2,0)+1)-INDEX(표준면적!$B$3:$G$10,4,MATCH(표준면적!$J$2,표준면적!$B$2:$G$2,0)))*표준면적!$J$4)*(IF($B$3&lt;=2,0,IF($B$3=3,0.9,0.8)))</f>
        <v/>
      </c>
      <c r="C9" s="150">
        <f>B9*$B$4</f>
        <v/>
      </c>
      <c r="D9" s="116">
        <f>우리집!B25</f>
        <v/>
      </c>
      <c r="E9" s="116">
        <f>우리집!C25</f>
        <v/>
      </c>
      <c r="F9" s="151">
        <f>IF(AND(D9="N",E9="Y"),C9,0)</f>
        <v/>
      </c>
    </row>
    <row r="10" ht="15" customHeight="1" s="95">
      <c r="A10" s="116" t="inlineStr">
        <is>
          <t>작은방2</t>
        </is>
      </c>
      <c r="B10" s="149">
        <f>SQRT(INDEX(표준면적!$B$3:$G$10,5,MATCH(표준면적!$J$2,표준면적!$B$2:$G$2,0))+(INDEX(표준면적!$B$3:$G$10,5,MATCH(표준면적!$J$2,표준면적!$B$2:$G$2,0)+1)-INDEX(표준면적!$B$3:$G$10,5,MATCH(표준면적!$J$2,표준면적!$B$2:$G$2,0)))*표준면적!$J$4)*(IF($B$3&lt;=2,0,IF($B$3=3,0.85,0.8)))</f>
        <v/>
      </c>
      <c r="C10" s="150">
        <f>B10*$B$4</f>
        <v/>
      </c>
      <c r="D10" s="116">
        <f>우리집!B26</f>
        <v/>
      </c>
      <c r="E10" s="116">
        <f>우리집!C26</f>
        <v/>
      </c>
      <c r="F10" s="151">
        <f>IF(AND(D10="N",E10="Y"),C10,0)</f>
        <v/>
      </c>
    </row>
    <row r="11" ht="15" customHeight="1" s="95">
      <c r="A11" s="116" t="inlineStr">
        <is>
          <t>주방</t>
        </is>
      </c>
      <c r="B11" s="149">
        <f>SQRT(INDEX(표준면적!$B$3:$G$10,2,MATCH(표준면적!$J$2,표준면적!$B$2:$G$2,0))+(INDEX(표준면적!$B$3:$G$10,2,MATCH(표준면적!$J$2,표준면적!$B$2:$G$2,0)+1)-INDEX(표준면적!$B$3:$G$10,2,MATCH(표준면적!$J$2,표준면적!$B$2:$G$2,0)))*표준면적!$J$4)*(0.85)</f>
        <v/>
      </c>
      <c r="C11" s="150">
        <f>B11*$B$4</f>
        <v/>
      </c>
      <c r="D11" s="116">
        <f>우리집!B23</f>
        <v/>
      </c>
      <c r="E11" s="116">
        <f>우리집!C23</f>
        <v/>
      </c>
      <c r="F11" s="151">
        <f>IF(AND(D11="N",E11="Y"),C11,0)</f>
        <v/>
      </c>
      <c r="G11" s="116" t="inlineStr">
        <is>
          <t>자동 ON/OFF</t>
        </is>
      </c>
    </row>
    <row r="12" ht="15" customHeight="1" s="95">
      <c r="A12" s="116" t="inlineStr">
        <is>
          <t>추가확장 합계</t>
        </is>
      </c>
      <c r="B12" s="146" t="n"/>
      <c r="C12" s="146" t="n"/>
      <c r="D12" s="146" t="n"/>
      <c r="E12" s="147" t="n"/>
      <c r="F12" s="150">
        <f>SUM(F7:F11)</f>
        <v/>
      </c>
      <c r="G12" s="116">
        <f>IF(F12&gt;0,"Y","N")</f>
        <v/>
      </c>
    </row>
    <row r="14" ht="60" customHeight="1" s="95">
      <c r="A14" s="129" t="inlineStr">
        <is>
          <t>안내 / [샷시 분리] 샷시는 발코니 면적 비율로 자동 분배: 확장 공간 외부창은 자동 산정(라인 #82, 토글 자동), 비확장 공간 외부창은 전체 샷시 교체 토글(공사범위!B25) ON 시 라인 #4에 산정. 확장공사 단가에는 샷시 미포함 — 골조+단열+배관+미장만.</t>
        </is>
      </c>
      <c r="B14" s="129" t="inlineStr">
        <is>
          <t>한국 아파트 평면 구조 기준: 거실·안방·작은방1은 전면 베이, 주방·작은방2(3베이)는 후면 베이. 4베이 평면은 작은방2가 전면으로 이동. 베이 형태(B3)와 평형(우리집!B4)에 따라 폭이 자동 계산되고 × 깊이(B4)로 발코니 면적 산출. 확장 전 N + 확장 후 Y인 공간만 '추가확장 면적'(F열)으로 견적에 반영. 주방 default = 확장 전 N (다용도실 분리). 신축이면 D11=Y로 변경.</t>
        </is>
      </c>
    </row>
  </sheetData>
  <mergeCells count="5">
    <mergeCell ref="A12:E12"/>
    <mergeCell ref="C3:F3"/>
    <mergeCell ref="C4:F4"/>
    <mergeCell ref="A1:F1"/>
    <mergeCell ref="B14:F14"/>
  </mergeCells>
  <dataValidations count="2">
    <dataValidation sqref="B3" showDropDown="0" showInputMessage="0" showErrorMessage="0" allowBlank="0" type="list" errorStyle="stop" operator="between">
      <formula1>"2,3,4"</formula1>
      <formula2>0</formula2>
    </dataValidation>
    <dataValidation sqref="D7:E11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359375" defaultRowHeight="15" customHeight="0" zeroHeight="0" outlineLevelRow="0"/>
  <cols>
    <col width="4.59" customWidth="1" style="94" min="1" max="1"/>
    <col width="11.01" customWidth="1" style="94" min="2" max="2"/>
    <col width="16.51" customWidth="1" style="94" min="3" max="3"/>
    <col width="9.17" customWidth="1" style="94" min="4" max="4"/>
    <col width="8.26" customWidth="1" style="94" min="5" max="5"/>
    <col width="9.17" customWidth="1" style="94" min="6" max="6"/>
    <col width="33.03" customWidth="1" style="94" min="7" max="7"/>
    <col width="11.01" customWidth="1" style="94" min="8" max="8"/>
    <col width="12.84" customWidth="1" style="94" min="9" max="9"/>
    <col width="14.68" customWidth="1" style="94" min="11" max="11"/>
    <col width="12.84" customWidth="1" style="94" min="12" max="12"/>
    <col width="1.84" customWidth="1" style="94" min="13" max="13"/>
    <col width="11.01" customWidth="1" style="94" min="14" max="14"/>
    <col width="12.84" customWidth="1" style="94" min="15" max="15"/>
  </cols>
  <sheetData>
    <row r="1" ht="27.75" customHeight="1" s="95">
      <c r="A1" s="118" t="inlineStr">
        <is>
          <t>공사비 산출 결과</t>
        </is>
      </c>
    </row>
    <row r="3" ht="15" customHeight="1" s="95">
      <c r="A3" s="116" t="inlineStr">
        <is>
          <t>총 공사비</t>
        </is>
      </c>
      <c r="B3" s="152">
        <f>I11+I14+I20+I26+I34+I38+I63+I71+I77+I86+I91+I96+I99+I103+I105+I110+I112+I116+I122+I143+I145+I147+I149+I151+I153+I155</f>
        <v/>
      </c>
      <c r="C3" s="147" t="n"/>
      <c r="D3" s="116" t="inlineStr">
        <is>
          <t>평당 공사비</t>
        </is>
      </c>
      <c r="E3" s="153">
        <f>B3/우리집!B8</f>
        <v/>
      </c>
      <c r="F3" s="116" t="inlineStr">
        <is>
          <t>평형 / 등급요약</t>
        </is>
      </c>
      <c r="G3" s="143">
        <f>우리집!B8&amp;"평 / 바닥재 "&amp;우리집!B64&amp;" / 도배 "&amp;우리집!B65&amp;" / 주방 "&amp;우리집!B69</f>
        <v/>
      </c>
      <c r="H3" s="146" t="n"/>
      <c r="I3" s="147" t="n"/>
    </row>
    <row r="4" ht="15" customHeight="1" s="95">
      <c r="A4" s="118" t="inlineStr">
        <is>
          <t>부가세 별도/포함 토글</t>
        </is>
      </c>
      <c r="B4" s="118" t="inlineStr">
        <is>
          <t>별도</t>
        </is>
      </c>
      <c r="C4" s="118" t="inlineStr">
        <is>
          <t>별도/포함</t>
        </is>
      </c>
      <c r="D4" s="118" t="inlineStr">
        <is>
          <t>부가세율</t>
        </is>
      </c>
      <c r="E4" s="118" t="n">
        <v>0.1</v>
      </c>
      <c r="F4" s="118" t="inlineStr">
        <is>
          <t>(10% 기본)</t>
        </is>
      </c>
    </row>
    <row r="5" ht="15" customHeight="1" s="95">
      <c r="A5" s="118" t="inlineStr">
        <is>
          <t>부가세 포함 총공사비</t>
        </is>
      </c>
      <c r="B5" s="129">
        <f>IF(B4="포함",B3,B3*(1+E4))</f>
        <v/>
      </c>
      <c r="C5" s="118" t="inlineStr">
        <is>
          <t>원</t>
        </is>
      </c>
      <c r="D5" s="118" t="inlineStr">
        <is>
          <t>평당(부가세 포함)</t>
        </is>
      </c>
      <c r="E5" s="118">
        <f>B5/우리집!B8</f>
        <v/>
      </c>
      <c r="F5" s="118" t="inlineStr">
        <is>
          <t>원/평</t>
        </is>
      </c>
    </row>
    <row r="6" ht="15" customHeight="1" s="95">
      <c r="A6" s="118" t="inlineStr">
        <is>
          <t>시장 평당 적정 범위</t>
        </is>
      </c>
      <c r="B6" s="129">
        <f>IF(우리집!$B$8&lt;=30,IF(우리집!$B$61="가성비","100~150만/평",IF(우리집!$B$61="표준","180~220만/평","250~330만/평")),IF(우리집!$B$8&lt;=40,IF(우리집!$B$61="가성비","90~140만/평",IF(우리집!$B$61="표준","160~200만/평","230~300만/평")),IF(우리집!$B$61="가성비","80~130만/평",IF(우리집!$B$61="표준","140~180만/평","210~280만/평"))))</f>
        <v/>
      </c>
      <c r="D6" s="118" t="inlineStr">
        <is>
          <t>평당 평가</t>
        </is>
      </c>
      <c r="E6" s="129">
        <f>IF(우리집!$B$8&lt;=30,IF(E3&lt;800000,"⚠ 매우 낮음",IF(E3&lt;=1500000,"✓ 가성비",IF(E3&lt;=2200000,"✓ 표준",IF(E3&lt;=3300000,"✓ 고급","✗ 상한 초과")))),IF(우리집!$B$8&lt;=40,IF(E3&lt;700000,"⚠ 매우 낮음",IF(E3&lt;=1400000,"✓ 가성비",IF(E3&lt;=2000000,"✓ 표준",IF(E3&lt;=3000000,"✓ 고급","✗ 상한 초과")))),IF(E3&lt;600000,"⚠ 매우 낮음",IF(E3&lt;=1300000,"✓ 가성비",IF(E3&lt;=1800000,"✓ 표준",IF(E3&lt;=2800000,"✓ 고급","✗ 상한 초과"))))))</f>
        <v/>
      </c>
    </row>
    <row r="8" ht="27.75" customHeight="1" s="95">
      <c r="A8" s="116" t="inlineStr">
        <is>
          <t>#</t>
        </is>
      </c>
      <c r="B8" s="116" t="inlineStr">
        <is>
          <t>공간</t>
        </is>
      </c>
      <c r="C8" s="116" t="inlineStr">
        <is>
          <t>공종</t>
        </is>
      </c>
      <c r="D8" s="116" t="inlineStr">
        <is>
          <t>단위</t>
        </is>
      </c>
      <c r="E8" s="116" t="inlineStr">
        <is>
          <t>수량</t>
        </is>
      </c>
      <c r="F8" s="116" t="inlineStr">
        <is>
          <t>등급</t>
        </is>
      </c>
      <c r="G8" s="116" t="inlineStr">
        <is>
          <t>추천 SKU</t>
        </is>
      </c>
      <c r="H8" s="116" t="inlineStr">
        <is>
          <t>단가(원)</t>
        </is>
      </c>
      <c r="I8" s="116" t="inlineStr">
        <is>
          <t>소계(원)</t>
        </is>
      </c>
      <c r="K8" s="116" t="inlineStr">
        <is>
          <t>공종별 합계</t>
        </is>
      </c>
      <c r="L8" s="147" t="n"/>
      <c r="N8" s="116" t="inlineStr">
        <is>
          <t>공간별 합계</t>
        </is>
      </c>
      <c r="O8" s="147" t="n"/>
      <c r="P8" s="118" t="inlineStr">
        <is>
          <t>category</t>
        </is>
      </c>
    </row>
    <row r="9" ht="15" customHeight="1" s="95">
      <c r="A9" s="116" t="n">
        <v>1</v>
      </c>
      <c r="B9" s="116" t="inlineStr">
        <is>
          <t>전체</t>
        </is>
      </c>
      <c r="C9" s="116" t="inlineStr">
        <is>
          <t>철거공사</t>
        </is>
      </c>
      <c r="D9" s="143">
        <f>IFERROR(INDEX(자재마스터!$J:$J,MATCH("철거|"&amp;우리집!$B$61,자재마스터!$AA:$AA,0)),"-")</f>
        <v/>
      </c>
      <c r="E9" s="145">
        <f>우리집!$B$15</f>
        <v/>
      </c>
      <c r="F9" s="116">
        <f>우리집!$B$61</f>
        <v/>
      </c>
      <c r="G9" s="143">
        <f>IFERROR((INDEX(자재마스터!$F:$F, MATCH("철거|"&amp;우리집!$B$61,자재마스터!$AA:$AA,0)) &amp; " " &amp; INDEX(자재마스터!$G:$G, MATCH("철거|"&amp;우리집!$B$61,자재마스터!$AA:$AA,0))),"매칭없음")</f>
        <v/>
      </c>
      <c r="H9" s="154">
        <f>IFERROR(INDEX(자재마스터!$M:$M,MATCH("철거|"&amp;우리집!$B$61,자재마스터!$AA:$AA,0)),0)</f>
        <v/>
      </c>
      <c r="I9" s="154">
        <f>IFERROR(E9*H9*IF(공사범위!$B$10="Y",1,0),0)</f>
        <v/>
      </c>
      <c r="K9" s="116" t="inlineStr">
        <is>
          <t>기본공사</t>
        </is>
      </c>
      <c r="L9" s="154">
        <f>SUMIF($C$9:$C$112,"철거공사",$I$9:$I$112)+SUMIF($C$9:$C$112,"단열공사",$I$9:$I$112)+SUMIF($C$9:$C$112,"도장공사",$I$9:$I$112)</f>
        <v/>
      </c>
      <c r="N9" s="116" t="inlineStr">
        <is>
          <t>전체</t>
        </is>
      </c>
      <c r="O9" s="154">
        <f>SUMIF($B$9:$B$112,"전체",$I$9:$I$112)</f>
        <v/>
      </c>
      <c r="P9" s="129">
        <f>IFERROR(INDEX(자재마스터!$D:$D,MATCH("철거|"&amp;우리집!$B$61,자재마스터!$AA:$AA,0)),"")</f>
        <v/>
      </c>
    </row>
    <row r="10" ht="15" customHeight="1" s="95">
      <c r="A10" s="116" t="n">
        <v>2</v>
      </c>
      <c r="B10" s="116" t="inlineStr">
        <is>
          <t>전체</t>
        </is>
      </c>
      <c r="C10" s="116" t="inlineStr">
        <is>
          <t>단열공사</t>
        </is>
      </c>
      <c r="D10" s="143">
        <f>IFERROR(INDEX(자재마스터!$J:$J,MATCH("insulation|"&amp;우리집!$B$64,자재마스터!$Z:$Z,0)),"-")</f>
        <v/>
      </c>
      <c r="E10" s="145">
        <f>우리집!$B$15</f>
        <v/>
      </c>
      <c r="F10" s="116">
        <f>우리집!$B$64</f>
        <v/>
      </c>
      <c r="G10" s="143">
        <f>IFERROR((INDEX(자재마스터!$F:$F, MATCH("insulation|"&amp;우리집!$B$64,자재마스터!$Z:$Z,0)) &amp; " " &amp; INDEX(자재마스터!$G:$G, MATCH("insulation|"&amp;우리집!$B$64,자재마스터!$Z:$Z,0))),"매칭없음")</f>
        <v/>
      </c>
      <c r="H10" s="154">
        <f>IFERROR(INDEX(자재마스터!$M:$M,MATCH("insulation|"&amp;우리집!$B$64,자재마스터!$Z:$Z,0)),0)</f>
        <v/>
      </c>
      <c r="I10" s="154">
        <f>IFERROR(E10*H10*IF(공사범위!$B$11="Y",1,0),0)</f>
        <v/>
      </c>
      <c r="K10" s="116" t="inlineStr">
        <is>
          <t>샷시 교체</t>
        </is>
      </c>
      <c r="L10" s="154">
        <f>SUMIF($C$9:$C$112,"샷시 교체",$I$9:$I$112)</f>
        <v/>
      </c>
      <c r="N10" s="116" t="inlineStr">
        <is>
          <t>거실</t>
        </is>
      </c>
      <c r="O10" s="154">
        <f>SUMIF($B$9:$B$112,"거실",$I$9:$I$112)</f>
        <v/>
      </c>
      <c r="P10" s="129">
        <f>IFERROR(INDEX(자재마스터!$D:$D,MATCH("insulation|"&amp;우리집!$B$64,자재마스터!$Z:$Z,0)),"")</f>
        <v/>
      </c>
    </row>
    <row r="11" ht="15" customHeight="1" s="95">
      <c r="A11" s="155" t="n"/>
      <c r="B11" s="156" t="n"/>
      <c r="C11" s="120" t="inlineStr">
        <is>
          <t>━ 기본공사 소계</t>
        </is>
      </c>
      <c r="D11" s="155" t="n"/>
      <c r="E11" s="157" t="n"/>
      <c r="F11" s="155" t="n"/>
      <c r="G11" s="156" t="n"/>
      <c r="H11" s="158" t="n"/>
      <c r="I11" s="159">
        <f>SUM(I9:I10)</f>
        <v/>
      </c>
      <c r="K11" s="116" t="inlineStr">
        <is>
          <t>바닥재</t>
        </is>
      </c>
      <c r="L11" s="154">
        <f>SUMIF($C$9:$C$112,"바닥재",$I$9:$I$112)</f>
        <v/>
      </c>
      <c r="N11" s="116" t="inlineStr">
        <is>
          <t>주방</t>
        </is>
      </c>
      <c r="O11" s="154">
        <f>SUMIF($B$9:$B$112,"주방",$I$9:$I$112)</f>
        <v/>
      </c>
    </row>
    <row r="12" hidden="1" ht="15" customHeight="1" s="95">
      <c r="A12" s="114" t="n">
        <v>3</v>
      </c>
      <c r="B12" s="114" t="inlineStr">
        <is>
          <t>전체</t>
        </is>
      </c>
      <c r="C12" s="111" t="inlineStr">
        <is>
          <t>(미사용) 샷시 — 공간별 통합</t>
        </is>
      </c>
      <c r="D12" s="111">
        <f>IFERROR(INDEX(자재마스터!$J:$J,MATCH("window|"&amp;우리집!$B$73,자재마스터!$Z:$Z,0)),"-")</f>
        <v/>
      </c>
      <c r="E12" s="160" t="n">
        <v>0</v>
      </c>
      <c r="F12" s="114">
        <f>우리집!$B$73</f>
        <v/>
      </c>
      <c r="G12" s="111">
        <f>IFERROR((INDEX(자재마스터!$F:$F, MATCH("window|"&amp;우리집!$B$73,자재마스터!$Z:$Z,0)) &amp; " " &amp; INDEX(자재마스터!$G:$G, MATCH("window|"&amp;우리집!$B$73,자재마스터!$Z:$Z,0)))&amp;" (비확장부)","매칭없음 (비확장부)")</f>
        <v/>
      </c>
      <c r="H12" s="161">
        <f>IFERROR(INDEX(자재마스터!$M:$M,MATCH("window|"&amp;우리집!$B$73,자재마스터!$Z:$Z,0)),0)</f>
        <v/>
      </c>
      <c r="I12" s="162">
        <f>IFERROR(E12*H12*IF(공사범위!$B$22="Y",1,0),0)</f>
        <v/>
      </c>
      <c r="K12" s="116" t="inlineStr">
        <is>
          <t>도배</t>
        </is>
      </c>
      <c r="L12" s="154">
        <f>SUMIF($C$9:$C$150,"도배",$I$9:$I$150)+SUMIF($C$9:$C$150,"가벽 도배 (양면)",$I$9:$I$150)+SUMIF($C$9:$C$160,"무문선 도배 추가비",$I$9:$I$160)</f>
        <v/>
      </c>
      <c r="N12" s="116" t="inlineStr">
        <is>
          <t>안방</t>
        </is>
      </c>
      <c r="O12" s="154">
        <f>SUMIF($B$9:$B$112,"안방",$I$9:$I$112)</f>
        <v/>
      </c>
      <c r="P12" s="129">
        <f>IFERROR(INDEX(자재마스터!$D:$D,MATCH("window|"&amp;우리집!$B$73,자재마스터!$Z:$Z,0)),"")</f>
        <v/>
      </c>
    </row>
    <row r="13" ht="15" customHeight="1" s="95">
      <c r="A13" s="116" t="n">
        <v>4</v>
      </c>
      <c r="B13" s="116" t="inlineStr">
        <is>
          <t>전체</t>
        </is>
      </c>
      <c r="C13" s="116" t="inlineStr">
        <is>
          <t>샷시 교체</t>
        </is>
      </c>
      <c r="D13" s="143">
        <f>IFERROR(INDEX(자재마스터!$J:$J,MATCH("window|"&amp;우리집!$B$73,자재마스터!$Z:$Z,0)),"-")</f>
        <v/>
      </c>
      <c r="E13" s="144">
        <f>우리집!$B$16 * MIN(1, IFERROR(확장설정!$F$12/SUM(확장설정!$C$7:$C$11),0)) * IFERROR((IF(우리집!$J$22="Y",확장설정!$F$7,0)+IF(우리집!$J$23="Y",확장설정!$F$11,0)+IF(우리집!$J$24="Y",확장설정!$F$8,0)+IF(우리집!$J$25="Y",확장설정!$F$9,0)+IF(우리집!$J$26="Y",확장설정!$F$10,0))/확장설정!$F$12,0)</f>
        <v/>
      </c>
      <c r="F13" s="116">
        <f>우리집!$B$73</f>
        <v/>
      </c>
      <c r="G13" s="143">
        <f>IFERROR((INDEX(자재마스터!$F:$F, MATCH("window|"&amp;우리집!$B$73,자재마스터!$Z:$Z,0)) &amp; " " &amp; INDEX(자재마스터!$G:$G, MATCH("window|"&amp;우리집!$B$73,자재마스터!$Z:$Z,0)))&amp;" (확장부 자동)","매칭없음 (확장부)")</f>
        <v/>
      </c>
      <c r="H13" s="154">
        <f>IFERROR(INDEX(자재마스터!$M:$M,MATCH("window|"&amp;우리집!$B$73,자재마스터!$Z:$Z,0)),0)</f>
        <v/>
      </c>
      <c r="I13" s="154">
        <f>IFERROR(E13*H13*IF(확장설정!$F$12&gt;0,1,0),0)</f>
        <v/>
      </c>
      <c r="K13" s="116" t="inlineStr">
        <is>
          <t>몰딩</t>
        </is>
      </c>
      <c r="L13" s="154">
        <f>SUMIF($C$9:$C$112,"몰딩",$I$9:$I$112)</f>
        <v/>
      </c>
      <c r="N13" s="116" t="inlineStr">
        <is>
          <t>작은방1</t>
        </is>
      </c>
      <c r="O13" s="154">
        <f>SUMIF($B$9:$B$112,"작은방1",$I$9:$I$112)</f>
        <v/>
      </c>
      <c r="P13" s="129">
        <f>IFERROR(INDEX(자재마스터!$D:$D,MATCH("window|"&amp;우리집!$B$73,자재마스터!$Z:$Z,0)),"")</f>
        <v/>
      </c>
    </row>
    <row r="14" ht="15" customHeight="1" s="95">
      <c r="A14" s="155" t="n"/>
      <c r="B14" s="156" t="n"/>
      <c r="C14" s="120" t="inlineStr">
        <is>
          <t>━ 샷시 소계</t>
        </is>
      </c>
      <c r="D14" s="155" t="n"/>
      <c r="E14" s="157" t="n"/>
      <c r="F14" s="155" t="n"/>
      <c r="G14" s="156" t="n"/>
      <c r="H14" s="158" t="n"/>
      <c r="I14" s="159">
        <f>SUM(I12:I13)</f>
        <v/>
      </c>
      <c r="K14" s="116" t="inlineStr">
        <is>
          <t>걸레받이</t>
        </is>
      </c>
      <c r="L14" s="154">
        <f>SUMIF($C$9:$C$112,"걸레받이",$I$9:$I$112)</f>
        <v/>
      </c>
      <c r="N14" s="116" t="inlineStr">
        <is>
          <t>작은방2</t>
        </is>
      </c>
      <c r="O14" s="154">
        <f>SUMIF($B$9:$B$112,"작은방2",$I$9:$I$112)</f>
        <v/>
      </c>
    </row>
    <row r="15" ht="15" customHeight="1" s="95">
      <c r="A15" s="114" t="n">
        <v>5</v>
      </c>
      <c r="B15" s="114" t="inlineStr">
        <is>
          <t>거실</t>
        </is>
      </c>
      <c r="C15" s="114" t="inlineStr">
        <is>
          <t>바닥재</t>
        </is>
      </c>
      <c r="D15" s="111">
        <f>IFERROR(INDEX(자재마스터!$J:$J,MATCH("flooring|"&amp;우리집!$B$64,자재마스터!$Z:$Z,0)),"-")</f>
        <v/>
      </c>
      <c r="E15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5" s="114">
        <f>우리집!$B$64</f>
        <v/>
      </c>
      <c r="G15" s="111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5" s="161">
        <f>IFERROR(INDEX(자재마스터!$M:$M,MATCH("flooring|"&amp;우리집!$B$64,자재마스터!$Z:$Z,0)),0)</f>
        <v/>
      </c>
      <c r="I15" s="162">
        <f>IFERROR(E15*H15*IF(공사범위!$B$3="Y",1,0),0)</f>
        <v/>
      </c>
      <c r="K15" s="116" t="inlineStr">
        <is>
          <t>무걸레받이 추가비</t>
        </is>
      </c>
      <c r="L15" s="154">
        <f>SUMIF($C$9:$C$112,"무걸레받이-목공추가비",$I$9:$I$112)+SUMIF($C$9:$C$112,"무걸레받이-도배추가비",$I$9:$I$112)</f>
        <v/>
      </c>
      <c r="N15" s="116" t="inlineStr">
        <is>
          <t>공용욕실</t>
        </is>
      </c>
      <c r="O15" s="154">
        <f>SUMIF($B$9:$B$112,"공용욕실",$I$9:$I$112)</f>
        <v/>
      </c>
      <c r="P15" s="129">
        <f>IFERROR(INDEX(자재마스터!$D:$D,MATCH("flooring|"&amp;우리집!$B$64,자재마스터!$Z:$Z,0)),"")</f>
        <v/>
      </c>
    </row>
    <row r="16" ht="15" customHeight="1" s="95">
      <c r="A16" s="116" t="n">
        <v>6</v>
      </c>
      <c r="B16" s="116" t="inlineStr">
        <is>
          <t>주방</t>
        </is>
      </c>
      <c r="C16" s="116" t="inlineStr">
        <is>
          <t>바닥재</t>
        </is>
      </c>
      <c r="D16" s="143">
        <f>IFERROR(INDEX(자재마스터!$J:$J,MATCH("flooring|"&amp;우리집!$B$64,자재마스터!$Z:$Z,0)),"-")</f>
        <v/>
      </c>
      <c r="E16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</f>
        <v/>
      </c>
      <c r="F16" s="116">
        <f>우리집!$B$64</f>
        <v/>
      </c>
      <c r="G16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6" s="154">
        <f>IFERROR(INDEX(자재마스터!$M:$M,MATCH("flooring|"&amp;우리집!$B$64,자재마스터!$Z:$Z,0)),0)</f>
        <v/>
      </c>
      <c r="I16" s="154">
        <f>IFERROR(E16*H16*IF(공사범위!$B$4="Y",1,0),0)</f>
        <v/>
      </c>
      <c r="K16" s="116" t="inlineStr">
        <is>
          <t>무몰딩 추가비</t>
        </is>
      </c>
      <c r="L16" s="154">
        <f>SUMIF($C$9:$C$112,"무몰딩-목공추가비",$I$9:$I$112)+SUMIF($C$9:$C$112,"무몰딩-도배인건비",$I$9:$I$112)</f>
        <v/>
      </c>
      <c r="N16" s="116" t="inlineStr">
        <is>
          <t>부부욕실</t>
        </is>
      </c>
      <c r="O16" s="154">
        <f>SUMIF($B$9:$B$112,"부부욕실",$I$9:$I$112)</f>
        <v/>
      </c>
      <c r="P16" s="129">
        <f>IFERROR(INDEX(자재마스터!$D:$D,MATCH("flooring|"&amp;우리집!$B$64,자재마스터!$Z:$Z,0)),"")</f>
        <v/>
      </c>
    </row>
    <row r="17" ht="15" customHeight="1" s="95">
      <c r="A17" s="116" t="n">
        <v>7</v>
      </c>
      <c r="B17" s="116" t="inlineStr">
        <is>
          <t>안방</t>
        </is>
      </c>
      <c r="C17" s="116" t="inlineStr">
        <is>
          <t>바닥재</t>
        </is>
      </c>
      <c r="D17" s="143">
        <f>IFERROR(INDEX(자재마스터!$J:$J,MATCH("flooring|"&amp;우리집!$B$64,자재마스터!$Z:$Z,0)),"-")</f>
        <v/>
      </c>
      <c r="E17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</f>
        <v/>
      </c>
      <c r="F17" s="116">
        <f>우리집!$B$64</f>
        <v/>
      </c>
      <c r="G17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7" s="154">
        <f>IFERROR(INDEX(자재마스터!$M:$M,MATCH("flooring|"&amp;우리집!$B$64,자재마스터!$Z:$Z,0)),0)</f>
        <v/>
      </c>
      <c r="I17" s="154">
        <f>IFERROR(E17*H17*IF(공사범위!$B$5="Y",1,0),0)</f>
        <v/>
      </c>
      <c r="K17" s="116" t="inlineStr">
        <is>
          <t>욕실 컴포넌트</t>
        </is>
      </c>
      <c r="L17" s="154">
        <f>SUMIF($C$9:$C$112,"젠다이",$I$9:$I$112)+SUMIF($C$9:$C$112,"방수",$I$9:$I$112)+SUMIF($C$9:$C$112,"타일자재",$I$9:$I$112)+SUMIF($C$9:$C$112,"타일시공",$I$9:$I$112)+SUMIF($C$9:$C$112,"파티션",$I$9:$I$112)+SUMIF($C$9:$C$112,"천정",$I$9:$I$112)+SUMIF($C$9:$C$112,"세면대",$I$9:$I$112)+SUMIF($C$9:$C$112,"수전",$I$9:$I$112)+SUMIF($C$9:$C$112,"양변기",$I$9:$I$112)+SUMIF($C$9:$C$112,"악세사리",$I$9:$I$112)+SUMIF($C$9:$C$112,"줄눈",$I$9:$I$112)</f>
        <v/>
      </c>
      <c r="N17" s="116" t="inlineStr">
        <is>
          <t>현관</t>
        </is>
      </c>
      <c r="O17" s="154">
        <f>SUMIF($B$9:$B$112,"현관",$I$9:$I$112)</f>
        <v/>
      </c>
      <c r="P17" s="129">
        <f>IFERROR(INDEX(자재마스터!$D:$D,MATCH("flooring|"&amp;우리집!$B$64,자재마스터!$Z:$Z,0)),"")</f>
        <v/>
      </c>
    </row>
    <row r="18" ht="15" customHeight="1" s="95">
      <c r="A18" s="116" t="n">
        <v>8</v>
      </c>
      <c r="B18" s="116" t="inlineStr">
        <is>
          <t>작은방1</t>
        </is>
      </c>
      <c r="C18" s="116" t="inlineStr">
        <is>
          <t>바닥재</t>
        </is>
      </c>
      <c r="D18" s="143">
        <f>IFERROR(INDEX(자재마스터!$J:$J,MATCH("flooring|"&amp;우리집!$B$64,자재마스터!$Z:$Z,0)),"-")</f>
        <v/>
      </c>
      <c r="E18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</f>
        <v/>
      </c>
      <c r="F18" s="116">
        <f>우리집!$B$64</f>
        <v/>
      </c>
      <c r="G18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8" s="154">
        <f>IFERROR(INDEX(자재마스터!$M:$M,MATCH("flooring|"&amp;우리집!$B$64,자재마스터!$Z:$Z,0)),0)</f>
        <v/>
      </c>
      <c r="I18" s="154">
        <f>IFERROR(E18*H18*IF(공사범위!$B$6="Y",1,0),0)</f>
        <v/>
      </c>
      <c r="K18" s="116" t="inlineStr">
        <is>
          <t>욕실 설치비</t>
        </is>
      </c>
      <c r="L18" s="154">
        <f>SUMIF($C$9:$C$112,"욕실 설치비",$I$9:$I$112)</f>
        <v/>
      </c>
      <c r="N18" s="116" t="inlineStr">
        <is>
          <t>합계</t>
        </is>
      </c>
      <c r="O18" s="164">
        <f>SUM(O9:O17)</f>
        <v/>
      </c>
      <c r="P18" s="129">
        <f>IFERROR(INDEX(자재마스터!$D:$D,MATCH("flooring|"&amp;우리집!$B$64,자재마스터!$Z:$Z,0)),"")</f>
        <v/>
      </c>
    </row>
    <row r="19" ht="15" customHeight="1" s="95">
      <c r="A19" s="116" t="n">
        <v>9</v>
      </c>
      <c r="B19" s="116" t="inlineStr">
        <is>
          <t>작은방2</t>
        </is>
      </c>
      <c r="C19" s="116" t="inlineStr">
        <is>
          <t>바닥재</t>
        </is>
      </c>
      <c r="D19" s="143">
        <f>IFERROR(INDEX(자재마스터!$J:$J,MATCH("flooring|"&amp;우리집!$B$64,자재마스터!$Z:$Z,0)),"-")</f>
        <v/>
      </c>
      <c r="E19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</f>
        <v/>
      </c>
      <c r="F19" s="116">
        <f>우리집!$B$64</f>
        <v/>
      </c>
      <c r="G19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9" s="154">
        <f>IFERROR(INDEX(자재마스터!$M:$M,MATCH("flooring|"&amp;우리집!$B$64,자재마스터!$Z:$Z,0)),0)</f>
        <v/>
      </c>
      <c r="I19" s="154">
        <f>IFERROR(E19*H19*IF(공사범위!$B$7="Y",1,0),0)</f>
        <v/>
      </c>
      <c r="K19" s="116" t="inlineStr">
        <is>
          <t>타일 통합 시공</t>
        </is>
      </c>
      <c r="L19" s="154">
        <f>SUMIF($C$9:$C$112,"타일 시공팀 (1팀×일)",$I$9:$I$112)</f>
        <v/>
      </c>
      <c r="P19" s="129">
        <f>IFERROR(INDEX(자재마스터!$D:$D,MATCH("flooring|"&amp;우리집!$B$64,자재마스터!$Z:$Z,0)),"")</f>
        <v/>
      </c>
    </row>
    <row r="20" ht="15" customHeight="1" s="95">
      <c r="A20" s="155" t="n"/>
      <c r="B20" s="156" t="n"/>
      <c r="C20" s="120" t="inlineStr">
        <is>
          <t>━ 바닥재 소계</t>
        </is>
      </c>
      <c r="D20" s="155" t="n"/>
      <c r="E20" s="157" t="n"/>
      <c r="F20" s="155" t="n"/>
      <c r="G20" s="156" t="n"/>
      <c r="H20" s="158" t="n"/>
      <c r="I20" s="159">
        <f>SUM(I15:I19)</f>
        <v/>
      </c>
      <c r="K20" s="116" t="inlineStr">
        <is>
          <t>주방 컴포넌트</t>
        </is>
      </c>
      <c r="L20" s="154">
        <f>SUMIF($C$9:$C$112,"몸체",$I$9:$I$112)+SUMIF($C$9:$C$112,"미드웨이",$I$9:$I$112)+SUMIF($C$9:$C$112,"도어",$I$9:$I$112)+SUMIF($C$9:$C$112,"상판",$I$9:$I$112)+SUMIF($C$9:$C$112,"하드웨어",$I$9:$I$112)+SUMIF($C$9:$C$112,"후드",$I$9:$I$112)+SUMIF($C$9:$C$112,"싱크볼",$I$9:$I$112)+SUMIF($C$9:$C$112,"주방가구 세트 (몸체+도어)",$I$9:$I$112)</f>
        <v/>
      </c>
    </row>
    <row r="21" ht="15" customHeight="1" s="95">
      <c r="A21" s="114" t="n">
        <v>10</v>
      </c>
      <c r="B21" s="114" t="inlineStr">
        <is>
          <t>거실</t>
        </is>
      </c>
      <c r="C21" s="114" t="inlineStr">
        <is>
          <t>도배</t>
        </is>
      </c>
      <c r="D21" s="111">
        <f>IFERROR(INDEX(자재마스터!$J:$J,MATCH("wallpaper|"&amp;우리집!$B$65,자재마스터!$Z:$Z,0)),"-")</f>
        <v/>
      </c>
      <c r="E21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(INDEX(표준면적!$B$3:$G$10,1,MATCH(표준면적!$J$2,표준면적!$B$2:$G$2,0))+(INDEX(표준면적!$B$3:$G$10,1,(MATCH(표준면적!$J$2,표준면적!$B$2:$G$2,0)+1))-INDEX(표준면적!$B$3:$G$10,1,MATCH(표준면적!$J$2,표준면적!$B$2:$G$2,0)))*표준면적!$J$4)*2.8</f>
        <v/>
      </c>
      <c r="F21" s="114">
        <f>우리집!$B$65</f>
        <v/>
      </c>
      <c r="G21" s="111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1" s="161">
        <f>IFERROR(INDEX(자재마스터!$M:$M,MATCH("wallpaper|"&amp;우리집!$B$65,자재마스터!$Z:$Z,0)),0)</f>
        <v/>
      </c>
      <c r="I21" s="162">
        <f>IFERROR(E21*H21*IF(공사범위!$C$3="Y",1,0),0)</f>
        <v/>
      </c>
      <c r="K21" s="116" t="inlineStr">
        <is>
          <t>중문</t>
        </is>
      </c>
      <c r="L21" s="154">
        <f>SUMIF($C$9:$C$112,"중문",$I$9:$I$112)</f>
        <v/>
      </c>
      <c r="P21" s="129">
        <f>IFERROR(INDEX(자재마스터!$D:$D,MATCH("wallpaper|"&amp;우리집!$B$65,자재마스터!$Z:$Z,0)),"")</f>
        <v/>
      </c>
    </row>
    <row r="22" ht="15" customHeight="1" s="95">
      <c r="A22" s="116" t="n">
        <v>11</v>
      </c>
      <c r="B22" s="116" t="inlineStr">
        <is>
          <t>주방</t>
        </is>
      </c>
      <c r="C22" s="116" t="inlineStr">
        <is>
          <t>도배</t>
        </is>
      </c>
      <c r="D22" s="143">
        <f>IFERROR(INDEX(자재마스터!$J:$J,MATCH("wallpaper|"&amp;우리집!$B$65,자재마스터!$Z:$Z,0)),"-")</f>
        <v/>
      </c>
      <c r="E22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(INDEX(표준면적!$B$3:$G$10,2,MATCH(표준면적!$J$2,표준면적!$B$2:$G$2,0))+(INDEX(표준면적!$B$3:$G$10,2,(MATCH(표준면적!$J$2,표준면적!$B$2:$G$2,0)+1))-INDEX(표준면적!$B$3:$G$10,2,MATCH(표준면적!$J$2,표준면적!$B$2:$G$2,0)))*표준면적!$J$4)*2.8</f>
        <v/>
      </c>
      <c r="F22" s="116">
        <f>우리집!$B$65</f>
        <v/>
      </c>
      <c r="G22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2" s="154">
        <f>IFERROR(INDEX(자재마스터!$M:$M,MATCH("wallpaper|"&amp;우리집!$B$65,자재마스터!$Z:$Z,0)),0)</f>
        <v/>
      </c>
      <c r="I22" s="154">
        <f>IFERROR(E22*H22*IF(공사범위!$C$4="Y",1,0),0)</f>
        <v/>
      </c>
      <c r="K22" s="116" t="inlineStr">
        <is>
          <t>일반가구</t>
        </is>
      </c>
      <c r="L22" s="154">
        <f>SUMIF($C$9:$C$112,"일반가구",$I$9:$I$112)</f>
        <v/>
      </c>
      <c r="P22" s="129">
        <f>IFERROR(INDEX(자재마스터!$D:$D,MATCH("wallpaper|"&amp;우리집!$B$65,자재마스터!$Z:$Z,0)),"")</f>
        <v/>
      </c>
    </row>
    <row r="23" ht="15" customHeight="1" s="95">
      <c r="A23" s="116" t="n">
        <v>12</v>
      </c>
      <c r="B23" s="116" t="inlineStr">
        <is>
          <t>안방</t>
        </is>
      </c>
      <c r="C23" s="116" t="inlineStr">
        <is>
          <t>도배</t>
        </is>
      </c>
      <c r="D23" s="143">
        <f>IFERROR(INDEX(자재마스터!$J:$J,MATCH("wallpaper|"&amp;우리집!$B$65,자재마스터!$Z:$Z,0)),"-")</f>
        <v/>
      </c>
      <c r="E23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(INDEX(표준면적!$B$3:$G$10,3,MATCH(표준면적!$J$2,표준면적!$B$2:$G$2,0))+(INDEX(표준면적!$B$3:$G$10,3,(MATCH(표준면적!$J$2,표준면적!$B$2:$G$2,0)+1))-INDEX(표준면적!$B$3:$G$10,3,MATCH(표준면적!$J$2,표준면적!$B$2:$G$2,0)))*표준면적!$J$4)*2.8</f>
        <v/>
      </c>
      <c r="F23" s="116">
        <f>우리집!$B$65</f>
        <v/>
      </c>
      <c r="G23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3" s="154">
        <f>IFERROR(INDEX(자재마스터!$M:$M,MATCH("wallpaper|"&amp;우리집!$B$65,자재마스터!$Z:$Z,0)),0)</f>
        <v/>
      </c>
      <c r="I23" s="154">
        <f>IFERROR(E23*H23*IF(공사범위!$C$5="Y",1,0),0)</f>
        <v/>
      </c>
      <c r="K23" s="116" t="inlineStr">
        <is>
          <t>조명</t>
        </is>
      </c>
      <c r="L23" s="154">
        <f>SUMIF($C$9:$C$112,"다운라이트",$I$9:$I$112)+SUMIF($C$9:$C$112,"거실 간접조명",$I$9:$I$112)+SUMIF($C$9:$C$112,"욕실 간접조명",$I$9:$I$112)+SUMIF($C$9:$C$112,"거실 마그네틱 라인",$I$9:$I$112)+SUMIF($C$9:$C$112,"주방 마그네틱 라인",$I$9:$I$112)</f>
        <v/>
      </c>
      <c r="P23" s="129">
        <f>IFERROR(INDEX(자재마스터!$D:$D,MATCH("wallpaper|"&amp;우리집!$B$65,자재마스터!$Z:$Z,0)),"")</f>
        <v/>
      </c>
    </row>
    <row r="24" ht="15" customHeight="1" s="95">
      <c r="A24" s="116" t="n">
        <v>13</v>
      </c>
      <c r="B24" s="116" t="inlineStr">
        <is>
          <t>작은방1</t>
        </is>
      </c>
      <c r="C24" s="116" t="inlineStr">
        <is>
          <t>도배</t>
        </is>
      </c>
      <c r="D24" s="143">
        <f>IFERROR(INDEX(자재마스터!$J:$J,MATCH("wallpaper|"&amp;우리집!$B$65,자재마스터!$Z:$Z,0)),"-")</f>
        <v/>
      </c>
      <c r="E24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(INDEX(표준면적!$B$3:$G$10,4,MATCH(표준면적!$J$2,표준면적!$B$2:$G$2,0))+(INDEX(표준면적!$B$3:$G$10,4,(MATCH(표준면적!$J$2,표준면적!$B$2:$G$2,0)+1))-INDEX(표준면적!$B$3:$G$10,4,MATCH(표준면적!$J$2,표준면적!$B$2:$G$2,0)))*표준면적!$J$4)*2.8</f>
        <v/>
      </c>
      <c r="F24" s="116">
        <f>우리집!$B$65</f>
        <v/>
      </c>
      <c r="G24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4" s="154">
        <f>IFERROR(INDEX(자재마스터!$M:$M,MATCH("wallpaper|"&amp;우리집!$B$65,자재마스터!$Z:$Z,0)),0)</f>
        <v/>
      </c>
      <c r="I24" s="154">
        <f>IFERROR(E24*H24*IF(공사범위!$C$6="Y",1,0),0)</f>
        <v/>
      </c>
      <c r="K24" s="116" t="inlineStr">
        <is>
          <t>시스템에어컨</t>
        </is>
      </c>
      <c r="L24" s="154">
        <f>SUMIF($C$9:$C$112,"시스템에어컨",$I$9:$I$112)</f>
        <v/>
      </c>
      <c r="P24" s="129">
        <f>IFERROR(INDEX(자재마스터!$D:$D,MATCH("wallpaper|"&amp;우리집!$B$65,자재마스터!$Z:$Z,0)),"")</f>
        <v/>
      </c>
    </row>
    <row r="25" ht="15" customHeight="1" s="95">
      <c r="A25" s="116" t="n">
        <v>14</v>
      </c>
      <c r="B25" s="116" t="inlineStr">
        <is>
          <t>작은방2</t>
        </is>
      </c>
      <c r="C25" s="116" t="inlineStr">
        <is>
          <t>도배</t>
        </is>
      </c>
      <c r="D25" s="143">
        <f>IFERROR(INDEX(자재마스터!$J:$J,MATCH("wallpaper|"&amp;우리집!$B$65,자재마스터!$Z:$Z,0)),"-")</f>
        <v/>
      </c>
      <c r="E25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(INDEX(표준면적!$B$3:$G$10,5,MATCH(표준면적!$J$2,표준면적!$B$2:$G$2,0))+(INDEX(표준면적!$B$3:$G$10,5,(MATCH(표준면적!$J$2,표준면적!$B$2:$G$2,0)+1))-INDEX(표준면적!$B$3:$G$10,5,MATCH(표준면적!$J$2,표준면적!$B$2:$G$2,0)))*표준면적!$J$4)*2.8</f>
        <v/>
      </c>
      <c r="F25" s="116">
        <f>우리집!$B$65</f>
        <v/>
      </c>
      <c r="G25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5" s="154">
        <f>IFERROR(INDEX(자재마스터!$M:$M,MATCH("wallpaper|"&amp;우리집!$B$65,자재마스터!$Z:$Z,0)),0)</f>
        <v/>
      </c>
      <c r="I25" s="154">
        <f>IFERROR(E25*H25*IF(공사범위!$C$7="Y",1,0),0)</f>
        <v/>
      </c>
      <c r="K25" s="116" t="inlineStr">
        <is>
          <t>에어컨 실외기</t>
        </is>
      </c>
      <c r="L25" s="154">
        <f>SUMIF($C$9:$C$112,"에어컨 실외기",$I$9:$I$112)</f>
        <v/>
      </c>
      <c r="P25" s="129">
        <f>IFERROR(INDEX(자재마스터!$D:$D,MATCH("wallpaper|"&amp;우리집!$B$65,자재마스터!$Z:$Z,0)),"")</f>
        <v/>
      </c>
    </row>
    <row r="26" ht="15" customHeight="1" s="95">
      <c r="A26" s="155" t="n"/>
      <c r="B26" s="156" t="n"/>
      <c r="C26" s="120" t="inlineStr">
        <is>
          <t>━ 도배 소계</t>
        </is>
      </c>
      <c r="D26" s="155" t="n"/>
      <c r="E26" s="157" t="n"/>
      <c r="F26" s="155" t="n"/>
      <c r="G26" s="156" t="n"/>
      <c r="H26" s="158" t="n"/>
      <c r="I26" s="159">
        <f>SUM(I21:I25)</f>
        <v/>
      </c>
      <c r="K26" s="116" t="inlineStr">
        <is>
          <t>붙박이장</t>
        </is>
      </c>
      <c r="L26" s="154">
        <f>SUMIF($C$9:$C$112,"붙박이장",$I$9:$I$112)</f>
        <v/>
      </c>
    </row>
    <row r="27" ht="15" customHeight="1" s="95">
      <c r="A27" s="114" t="n">
        <v>15</v>
      </c>
      <c r="B27" s="114" t="inlineStr">
        <is>
          <t>거실</t>
        </is>
      </c>
      <c r="C27" s="114" t="inlineStr">
        <is>
          <t>몰딩</t>
        </is>
      </c>
      <c r="D27" s="111">
        <f>IFERROR(INDEX(자재마스터!$J:$J,MATCH("molding|"&amp;우리집!$B$66,자재마스터!$Z:$Z,0)),"-")</f>
        <v/>
      </c>
      <c r="E27" s="163">
        <f>(INDEX(표준면적!$B$14:$G$21,1,MATCH(표준면적!$J$2,표준면적!$B$2:$G$2,0))+(INDEX(표준면적!$B$14:$G$21,1,(MATCH(표준면적!$J$2,표준면적!$B$2:$G$2,0)+1))-INDEX(표준면적!$B$14:$G$21,1,MATCH(표준면적!$J$2,표준면적!$B$2:$G$2,0)))*표준면적!$J$4)</f>
        <v/>
      </c>
      <c r="F27" s="114">
        <f>우리집!$B$66</f>
        <v/>
      </c>
      <c r="G27" s="111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7" s="161">
        <f>IFERROR(INDEX(자재마스터!$M:$M,MATCH("molding|"&amp;우리집!$B$66,자재마스터!$Z:$Z,0)),0)</f>
        <v/>
      </c>
      <c r="I27" s="162">
        <f>IFERROR(E27*H27*IF(공사범위!$D$3="Y",1,0),0)</f>
        <v/>
      </c>
      <c r="K27" s="116" t="inlineStr">
        <is>
          <t>실링팬</t>
        </is>
      </c>
      <c r="L27" s="154">
        <f>SUMIF($C$9:$C$112,"실링팬",$I$9:$I$112)</f>
        <v/>
      </c>
      <c r="P27" s="129">
        <f>IFERROR(INDEX(자재마스터!$D:$D,MATCH("molding|"&amp;우리집!$B$66,자재마스터!$Z:$Z,0)),"")</f>
        <v/>
      </c>
    </row>
    <row r="28" ht="15" customHeight="1" s="95">
      <c r="A28" s="116" t="n">
        <v>16</v>
      </c>
      <c r="B28" s="116" t="inlineStr">
        <is>
          <t>주방</t>
        </is>
      </c>
      <c r="C28" s="116" t="inlineStr">
        <is>
          <t>몰딩</t>
        </is>
      </c>
      <c r="D28" s="143">
        <f>IFERROR(INDEX(자재마스터!$J:$J,MATCH("molding|"&amp;우리집!$B$66,자재마스터!$Z:$Z,0)),"-")</f>
        <v/>
      </c>
      <c r="E28" s="144">
        <f>(INDEX(표준면적!$B$14:$G$21,2,MATCH(표준면적!$J$2,표준면적!$B$2:$G$2,0))+(INDEX(표준면적!$B$14:$G$21,2,(MATCH(표준면적!$J$2,표준면적!$B$2:$G$2,0)+1))-INDEX(표준면적!$B$14:$G$21,2,MATCH(표준면적!$J$2,표준면적!$B$2:$G$2,0)))*표준면적!$J$4)</f>
        <v/>
      </c>
      <c r="F28" s="116">
        <f>우리집!$B$66</f>
        <v/>
      </c>
      <c r="G28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8" s="154">
        <f>IFERROR(INDEX(자재마스터!$M:$M,MATCH("molding|"&amp;우리집!$B$66,자재마스터!$Z:$Z,0)),0)</f>
        <v/>
      </c>
      <c r="I28" s="154">
        <f>IFERROR(E28*H28*IF(공사범위!$D$4="Y",1,0),0)</f>
        <v/>
      </c>
      <c r="K28" s="116" t="inlineStr">
        <is>
          <t>목공사</t>
        </is>
      </c>
      <c r="L28" s="154">
        <f>SUMIF($C$9:$C$112,"목공사 기본",$I$9:$I$112)+SUMIF($C$9:$C$112,"천정 우물→평천정",$I$9:$I$112)+SUMIF($C$9:$C$112,"가벽/구조 변경",$I$9:$I$112)+SUMIF($C$9:$C$160,"무문선 목공 추가비",$I$9:$I$160)</f>
        <v/>
      </c>
      <c r="P28" s="129">
        <f>IFERROR(INDEX(자재마스터!$D:$D,MATCH("molding|"&amp;우리집!$B$66,자재마스터!$Z:$Z,0)),"")</f>
        <v/>
      </c>
    </row>
    <row r="29" ht="15" customHeight="1" s="95">
      <c r="A29" s="116" t="n">
        <v>17</v>
      </c>
      <c r="B29" s="116" t="inlineStr">
        <is>
          <t>안방</t>
        </is>
      </c>
      <c r="C29" s="116" t="inlineStr">
        <is>
          <t>몰딩</t>
        </is>
      </c>
      <c r="D29" s="143">
        <f>IFERROR(INDEX(자재마스터!$J:$J,MATCH("molding|"&amp;우리집!$B$66,자재마스터!$Z:$Z,0)),"-")</f>
        <v/>
      </c>
      <c r="E29" s="144">
        <f>(INDEX(표준면적!$B$14:$G$29,3,MATCH(표준면적!$J$2,표준면적!$B$2:$G$2,0))+(INDEX(표준면적!$B$14:$G$29,3,(MATCH(표준면적!$J$2,표준면적!$B$2:$G$2,0)+1))-INDEX(표준면적!$B$14:$G$29,3,MATCH(표준면적!$J$2,표준면적!$B$2:$G$2,0)))*표준면적!$J$4)</f>
        <v/>
      </c>
      <c r="F29" s="116">
        <f>우리집!$B$66</f>
        <v/>
      </c>
      <c r="G29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9" s="154">
        <f>IFERROR(INDEX(자재마스터!$M:$M,MATCH("molding|"&amp;우리집!$B$66,자재마스터!$Z:$Z,0)),0)</f>
        <v/>
      </c>
      <c r="I29" s="154">
        <f>IFERROR(E29*H29*IF(공사범위!$D$5="Y",1,0),0)</f>
        <v/>
      </c>
      <c r="K29" s="116" t="inlineStr">
        <is>
          <t>확장공사</t>
        </is>
      </c>
      <c r="L29" s="154">
        <f>SUMIF($C$9:$C$112,"확장공사",$I$9:$I$112)</f>
        <v/>
      </c>
      <c r="P29" s="129">
        <f>IFERROR(INDEX(자재마스터!$D:$D,MATCH("molding|"&amp;우리집!$B$66,자재마스터!$Z:$Z,0)),"")</f>
        <v/>
      </c>
    </row>
    <row r="30" ht="15" customHeight="1" s="95">
      <c r="A30" s="116" t="n">
        <v>18</v>
      </c>
      <c r="B30" s="116" t="inlineStr">
        <is>
          <t>작은방1</t>
        </is>
      </c>
      <c r="C30" s="116" t="inlineStr">
        <is>
          <t>몰딩</t>
        </is>
      </c>
      <c r="D30" s="143">
        <f>IFERROR(INDEX(자재마스터!$J:$J,MATCH("molding|"&amp;우리집!$B$66,자재마스터!$Z:$Z,0)),"-")</f>
        <v/>
      </c>
      <c r="E30" s="144">
        <f>(INDEX(표준면적!$B$14:$G$21,4,MATCH(표준면적!$J$2,표준면적!$B$2:$G$2,0))+(INDEX(표준면적!$B$14:$G$21,4,(MATCH(표준면적!$J$2,표준면적!$B$2:$G$2,0)+1))-INDEX(표준면적!$B$14:$G$21,4,MATCH(표준면적!$J$2,표준면적!$B$2:$G$2,0)))*표준면적!$J$4)</f>
        <v/>
      </c>
      <c r="F30" s="116">
        <f>우리집!$B$66</f>
        <v/>
      </c>
      <c r="G30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0" s="154">
        <f>IFERROR(INDEX(자재마스터!$M:$M,MATCH("molding|"&amp;우리집!$B$66,자재마스터!$Z:$Z,0)),0)</f>
        <v/>
      </c>
      <c r="I30" s="154">
        <f>IFERROR(E30*H30*IF(공사범위!$D$6="Y",1,0),0)</f>
        <v/>
      </c>
      <c r="K30" s="116" t="inlineStr">
        <is>
          <t>스위치/콘센트</t>
        </is>
      </c>
      <c r="L30" s="154">
        <f>SUMIF($C$9:$C$120,"스위치/콘센트",$I$9:$I$120)</f>
        <v/>
      </c>
      <c r="P30" s="129">
        <f>IFERROR(INDEX(자재마스터!$D:$D,MATCH("molding|"&amp;우리집!$B$66,자재마스터!$Z:$Z,0)),"")</f>
        <v/>
      </c>
    </row>
    <row r="31" ht="15" customHeight="1" s="95">
      <c r="A31" s="116" t="n">
        <v>19</v>
      </c>
      <c r="B31" s="116" t="inlineStr">
        <is>
          <t>작은방2</t>
        </is>
      </c>
      <c r="C31" s="116" t="inlineStr">
        <is>
          <t>몰딩</t>
        </is>
      </c>
      <c r="D31" s="143">
        <f>IFERROR(INDEX(자재마스터!$J:$J,MATCH("molding|"&amp;우리집!$B$66,자재마스터!$Z:$Z,0)),"-")</f>
        <v/>
      </c>
      <c r="E31" s="144">
        <f>(INDEX(표준면적!$B$14:$G$21,5,MATCH(표준면적!$J$2,표준면적!$B$2:$G$2,0))+(INDEX(표준면적!$B$14:$G$21,5,(MATCH(표준면적!$J$2,표준면적!$B$2:$G$2,0)+1))-INDEX(표준면적!$B$14:$G$21,5,MATCH(표준면적!$J$2,표준면적!$B$2:$G$2,0)))*표준면적!$J$4)</f>
        <v/>
      </c>
      <c r="F31" s="116">
        <f>우리집!$B$66</f>
        <v/>
      </c>
      <c r="G31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1" s="154">
        <f>IFERROR(INDEX(자재마스터!$M:$M,MATCH("molding|"&amp;우리집!$B$66,자재마스터!$Z:$Z,0)),0)</f>
        <v/>
      </c>
      <c r="I31" s="154">
        <f>IFERROR(E31*H31*IF(공사범위!$D$7="Y",1,0),0)</f>
        <v/>
      </c>
      <c r="K31" s="116" t="inlineStr">
        <is>
          <t>인덕션 전용선</t>
        </is>
      </c>
      <c r="L31" s="154">
        <f>SUMIF($C$9:$C$120,"인덕션 전용선",$I$9:$I$120)</f>
        <v/>
      </c>
      <c r="P31" s="129">
        <f>IFERROR(INDEX(자재마스터!$D:$D,MATCH("molding|"&amp;우리집!$B$66,자재마스터!$Z:$Z,0)),"")</f>
        <v/>
      </c>
    </row>
    <row r="32" ht="15" customHeight="1" s="95">
      <c r="A32" s="116" t="n">
        <v>20</v>
      </c>
      <c r="B32" s="116" t="inlineStr">
        <is>
          <t>전체</t>
        </is>
      </c>
      <c r="C32" s="116" t="inlineStr">
        <is>
          <t>무몰딩-목공추가비</t>
        </is>
      </c>
      <c r="D32" s="143">
        <f>IFERROR(INDEX(자재마스터!$J:$J,MATCH("molding_carpentry|"&amp;우리집!$B$66,자재마스터!$Z:$Z,0)),"-")</f>
        <v/>
      </c>
      <c r="E32" s="144">
        <f>우리집!$B$14*COUNTIF(우리집!$F$22,"N")/5</f>
        <v/>
      </c>
      <c r="F32" s="116">
        <f>우리집!$B$66</f>
        <v/>
      </c>
      <c r="G32" s="143">
        <f>IFERROR((INDEX(자재마스터!$F:$F, MATCH("molding_carpentry|"&amp;우리집!$B$66,자재마스터!$Z:$Z,0)) &amp; " " &amp; INDEX(자재마스터!$G:$G, MATCH("molding_carpentry|"&amp;우리집!$B$66,자재마스터!$Z:$Z,0))),"매칭없음")</f>
        <v/>
      </c>
      <c r="H32" s="154">
        <f>IFERROR(INDEX(자재마스터!$M:$M,MATCH("molding_carpentry|"&amp;우리집!$B$66,자재마스터!$Z:$Z,0)),0)</f>
        <v/>
      </c>
      <c r="I32" s="165">
        <f>IFERROR(E32*H32,0)</f>
        <v/>
      </c>
      <c r="K32" s="116" t="inlineStr">
        <is>
          <t>발코니/다용도실</t>
        </is>
      </c>
      <c r="L32" s="154">
        <f>SUMIF($C$9:$C$120,"발코니 바닥타일",$I$9:$I$120)+SUMIF($C$9:$C$120,"다용도실 바닥타일",$I$9:$I$120)+SUMIF($C$9:$C$120,"발코니 도장",$I$9:$I$120)+SUMIF($C$9:$C$120,"다용도실 도장",$I$9:$I$120)</f>
        <v/>
      </c>
      <c r="P32" s="129">
        <f>IFERROR(INDEX(자재마스터!$D:$D,MATCH("molding_carpentry|"&amp;우리집!$B$66,자재마스터!$Z:$Z,0)),"")</f>
        <v/>
      </c>
    </row>
    <row r="33" ht="15" customHeight="1" s="95">
      <c r="A33" s="116" t="n">
        <v>21</v>
      </c>
      <c r="B33" s="116" t="inlineStr">
        <is>
          <t>전체</t>
        </is>
      </c>
      <c r="C33" s="116" t="inlineStr">
        <is>
          <t>무몰딩-도배인건비</t>
        </is>
      </c>
      <c r="D33" s="143">
        <f>IFERROR(INDEX(자재마스터!$J:$J,MATCH("molding_wallpaper|"&amp;우리집!$B$66,자재마스터!$Z:$Z,0)),"-")</f>
        <v/>
      </c>
      <c r="E33" s="144">
        <f>우리집!$B$14*COUNTIF(우리집!$F$22,"N")/5</f>
        <v/>
      </c>
      <c r="F33" s="116">
        <f>우리집!$B$66</f>
        <v/>
      </c>
      <c r="G33" s="143">
        <f>IFERROR((INDEX(자재마스터!$F:$F, MATCH("molding_wallpaper|"&amp;우리집!$B$66,자재마스터!$Z:$Z,0)) &amp; " " &amp; INDEX(자재마스터!$G:$G, MATCH("molding_wallpaper|"&amp;우리집!$B$66,자재마스터!$Z:$Z,0))),"매칭없음")</f>
        <v/>
      </c>
      <c r="H33" s="154">
        <f>IFERROR(INDEX(자재마스터!$M:$M,MATCH("molding_wallpaper|"&amp;우리집!$B$66,자재마스터!$Z:$Z,0)),0)</f>
        <v/>
      </c>
      <c r="I33" s="165">
        <f>IFERROR(E33*H33,0)</f>
        <v/>
      </c>
      <c r="K33" s="116" t="inlineStr">
        <is>
          <t>합계</t>
        </is>
      </c>
      <c r="L33" s="152">
        <f>SUM(L9:L32)+SUM(L34:L45)</f>
        <v/>
      </c>
      <c r="P33" s="129">
        <f>IFERROR(INDEX(자재마스터!$D:$D,MATCH("molding_wallpaper|"&amp;우리집!$B$66,자재마스터!$Z:$Z,0)),"")</f>
        <v/>
      </c>
    </row>
    <row r="34" ht="15" customHeight="1" s="95">
      <c r="A34" s="155" t="n"/>
      <c r="B34" s="156" t="n"/>
      <c r="C34" s="120" t="inlineStr">
        <is>
          <t>━ 몰딩 소계</t>
        </is>
      </c>
      <c r="D34" s="155" t="n"/>
      <c r="E34" s="157" t="n"/>
      <c r="F34" s="155" t="n"/>
      <c r="G34" s="156" t="n"/>
      <c r="H34" s="158" t="n"/>
      <c r="I34" s="159">
        <f>SUM(I27:I33)</f>
        <v/>
      </c>
      <c r="K34" s="118" t="inlineStr">
        <is>
          <t>전기 기본공사</t>
        </is>
      </c>
      <c r="L34" s="129">
        <f>SUMIF($C$9:$C$120,"전기 기본공사",$I$9:$I$120)</f>
        <v/>
      </c>
    </row>
    <row r="35" ht="15" customHeight="1" s="95">
      <c r="A35" s="114" t="n">
        <v>22</v>
      </c>
      <c r="B35" s="114" t="inlineStr">
        <is>
          <t>전체</t>
        </is>
      </c>
      <c r="C35" s="114" t="inlineStr">
        <is>
          <t>걸레받이</t>
        </is>
      </c>
      <c r="D35" s="111">
        <f>IFERROR(INDEX(자재마스터!$J:$J,MATCH("baseboard|"&amp;우리집!$B$80,자재마스터!$Z:$Z,0)),"-")</f>
        <v/>
      </c>
      <c r="E35" s="163">
        <f>우리집!$B$14*COUNTIF(우리집!$F$22,"Y")/5</f>
        <v/>
      </c>
      <c r="F35" s="114">
        <f>우리집!$B$80</f>
        <v/>
      </c>
      <c r="G35" s="111">
        <f>IFERROR((INDEX(자재마스터!$F:$F, MATCH("baseboard|"&amp;우리집!$B$80,자재마스터!$Z:$Z,0)) &amp; " " &amp; INDEX(자재마스터!$G:$G, MATCH("baseboard|"&amp;우리집!$B$80,자재마스터!$Z:$Z,0))),"매칭없음")</f>
        <v/>
      </c>
      <c r="H35" s="161">
        <f>IFERROR(INDEX(자재마스터!$M:$M,MATCH("baseboard|"&amp;우리집!$B$80,자재마스터!$Z:$Z,0)),0)</f>
        <v/>
      </c>
      <c r="I35" s="159">
        <f>IFERROR(E35*H35,0)</f>
        <v/>
      </c>
      <c r="K35" s="118" t="inlineStr">
        <is>
          <t>설비 기본공사</t>
        </is>
      </c>
      <c r="L35" s="129">
        <f>SUMIF($C$9:$C$120,"설비 기본공사",$I$9:$I$120)</f>
        <v/>
      </c>
      <c r="P35" s="129">
        <f>IFERROR(INDEX(자재마스터!$D:$D,MATCH("baseboard|"&amp;우리집!$B$80,자재마스터!$Z:$Z,0)),"")</f>
        <v/>
      </c>
    </row>
    <row r="36" ht="15" customHeight="1" s="95">
      <c r="A36" s="116" t="n">
        <v>23</v>
      </c>
      <c r="B36" s="116" t="inlineStr">
        <is>
          <t>전체</t>
        </is>
      </c>
      <c r="C36" s="116" t="inlineStr">
        <is>
          <t>무걸레받이-목공추가비</t>
        </is>
      </c>
      <c r="D36" s="143">
        <f>IFERROR(INDEX(자재마스터!$J:$J,MATCH("baseboard_carpentry|"&amp;우리집!$B$80,자재마스터!$Z:$Z,0)),"-")</f>
        <v/>
      </c>
      <c r="E36" s="144">
        <f>우리집!$B$14*COUNTIF(우리집!$F$22,"N")/5</f>
        <v/>
      </c>
      <c r="F36" s="116">
        <f>우리집!$B$80</f>
        <v/>
      </c>
      <c r="G36" s="143">
        <f>IFERROR((INDEX(자재마스터!$F:$F, MATCH("baseboard_carpentry|"&amp;우리집!$B$80,자재마스터!$Z:$Z,0)) &amp; " " &amp; INDEX(자재마스터!$G:$G, MATCH("baseboard_carpentry|"&amp;우리집!$B$80,자재마스터!$Z:$Z,0))),"매칭없음")</f>
        <v/>
      </c>
      <c r="H36" s="154">
        <f>IFERROR(INDEX(자재마스터!$M:$M,MATCH("baseboard_carpentry|"&amp;우리집!$B$80,자재마스터!$Z:$Z,0)),0)</f>
        <v/>
      </c>
      <c r="I36" s="165">
        <f>IFERROR(E36*H36,0)</f>
        <v/>
      </c>
      <c r="K36" s="118" t="inlineStr">
        <is>
          <t>난방온도조절기</t>
        </is>
      </c>
      <c r="L36" s="129">
        <f>SUMIF($C$9:$C$120,"난방온도조절기",$I$9:$I$120)</f>
        <v/>
      </c>
      <c r="P36" s="129">
        <f>IFERROR(INDEX(자재마스터!$D:$D,MATCH("baseboard_carpentry|"&amp;우리집!$B$80,자재마스터!$Z:$Z,0)),"")</f>
        <v/>
      </c>
    </row>
    <row r="37" ht="15" customHeight="1" s="95">
      <c r="A37" s="116" t="n">
        <v>24</v>
      </c>
      <c r="B37" s="116" t="inlineStr">
        <is>
          <t>전체</t>
        </is>
      </c>
      <c r="C37" s="116" t="inlineStr">
        <is>
          <t>무걸레받이-도배추가비 (무몰딩과 통합)</t>
        </is>
      </c>
      <c r="D37" s="143">
        <f>IFERROR(INDEX(자재마스터!$J:$J,MATCH("baseboard_wallpaper|"&amp;우리집!$B$80,자재마스터!$Z:$Z,0)),"-")</f>
        <v/>
      </c>
      <c r="E37" s="144">
        <f>우리집!$B$14*COUNTIF(우리집!$F$22,"N")/5*0</f>
        <v/>
      </c>
      <c r="F37" s="116">
        <f>우리집!$B$80</f>
        <v/>
      </c>
      <c r="G37" s="143">
        <f>IFERROR((INDEX(자재마스터!$F:$F, MATCH("baseboard_wallpaper|"&amp;우리집!$B$80,자재마스터!$Z:$Z,0)) &amp; " " &amp; INDEX(자재마스터!$G:$G, MATCH("baseboard_wallpaper|"&amp;우리집!$B$80,자재마스터!$Z:$Z,0))),"매칭없음")</f>
        <v/>
      </c>
      <c r="H37" s="154">
        <f>IFERROR(INDEX(자재마스터!$M:$M,MATCH("baseboard_wallpaper|"&amp;우리집!$B$80,자재마스터!$Z:$Z,0)),0)</f>
        <v/>
      </c>
      <c r="I37" s="165">
        <f>IFERROR(E37*H37,0)</f>
        <v/>
      </c>
      <c r="K37" s="118" t="inlineStr">
        <is>
          <t>구청 신고</t>
        </is>
      </c>
      <c r="L37" s="129">
        <f>SUMIF($C$9:$C$120,"구청 확장공사 신고",$I$9:$I$120)</f>
        <v/>
      </c>
      <c r="P37" s="129">
        <f>IFERROR(INDEX(자재마스터!$D:$D,MATCH("baseboard_wallpaper|"&amp;우리집!$B$80,자재마스터!$Z:$Z,0)),"")</f>
        <v/>
      </c>
    </row>
    <row r="38" ht="15" customHeight="1" s="95">
      <c r="A38" s="155" t="n"/>
      <c r="B38" s="156" t="n"/>
      <c r="C38" s="120" t="inlineStr">
        <is>
          <t>━ 걸레받이 소계</t>
        </is>
      </c>
      <c r="D38" s="155" t="n"/>
      <c r="E38" s="157" t="n"/>
      <c r="F38" s="155" t="n"/>
      <c r="G38" s="156" t="n"/>
      <c r="H38" s="158" t="n"/>
      <c r="I38" s="159">
        <f>SUM(I35:I37)</f>
        <v/>
      </c>
      <c r="K38" s="118" t="inlineStr">
        <is>
          <t>실리콘 인건비</t>
        </is>
      </c>
      <c r="L38" s="129">
        <f>SUMIF($C$9:$C$120,"실리콘 - 인건비",$I$9:$I$120)</f>
        <v/>
      </c>
    </row>
    <row r="39" ht="15" customHeight="1" s="95">
      <c r="A39" s="114" t="n">
        <v>25</v>
      </c>
      <c r="B39" s="114" t="inlineStr">
        <is>
          <t>공용욕실</t>
        </is>
      </c>
      <c r="C39" s="114" t="inlineStr">
        <is>
          <t>젠다이</t>
        </is>
      </c>
      <c r="D39" s="111">
        <f>IFERROR(INDEX(자재마스터!$J:$J,MATCH("bath_jendai|"&amp;IF(욕실설정!$B$4="기본",우리집!$B$67,욕실설정!$B$4),자재마스터!$Z:$Z,0)),"-")</f>
        <v/>
      </c>
      <c r="E39" s="160">
        <f>우리집!$B$11</f>
        <v/>
      </c>
      <c r="F39" s="111">
        <f>IF(욕실설정!$B$4="기본",우리집!$B$67,욕실설정!$B$4)</f>
        <v/>
      </c>
      <c r="G39" s="111">
        <f>IFERROR((INDEX(자재마스터!$F:$F, MATCH("bath_jendai|"&amp;IF(욕실설정!$B$4="기본",우리집!$B$67,욕실설정!$B$4),자재마스터!$Z:$Z,0)) &amp; " " &amp; INDEX(자재마스터!$G:$G, MATCH("bath_jendai|"&amp;IF(욕실설정!$B$4="기본",우리집!$B$67,욕실설정!$B$4),자재마스터!$Z:$Z,0))),"매칭없음")</f>
        <v/>
      </c>
      <c r="H39" s="161">
        <f>IFERROR(INDEX(자재마스터!$M:$M,MATCH("bath_jendai|"&amp;IF(욕실설정!$B$4="기본",우리집!$B$67,욕실설정!$B$4),자재마스터!$Z:$Z,0)),0)</f>
        <v/>
      </c>
      <c r="I39" s="162">
        <f>IFERROR(E39*H39*IF(욕실설정!$D$4="Y",1,0),0)</f>
        <v/>
      </c>
      <c r="K39" s="118" t="inlineStr">
        <is>
          <t>실리콘 욕실주방</t>
        </is>
      </c>
      <c r="L39" s="129">
        <f>SUMIF($C$9:$C$120,"실리콘 - 자재 (욕실·주방)",$I$9:$I$120)</f>
        <v/>
      </c>
      <c r="P39" s="129">
        <f>IFERROR(INDEX(자재마스터!$D:$D,MATCH("bath_jendai|"&amp;IF(욕실설정!$B$4="기본",우리집!$B$67,욕실설정!$B$4),자재마스터!$Z:$Z,0)),"")</f>
        <v/>
      </c>
    </row>
    <row r="40" ht="15" customHeight="1" s="95">
      <c r="A40" s="116" t="n">
        <v>26</v>
      </c>
      <c r="B40" s="116" t="inlineStr">
        <is>
          <t>공용욕실</t>
        </is>
      </c>
      <c r="C40" s="116" t="inlineStr">
        <is>
          <t>방수</t>
        </is>
      </c>
      <c r="D40" s="143">
        <f>IFERROR(INDEX(자재마스터!$J:$J,MATCH("bath_waterproof|"&amp;IF(욕실설정!$B$5="기본",우리집!$B$67,욕실설정!$B$5),자재마스터!$Z:$Z,0)),"-")</f>
        <v/>
      </c>
      <c r="E40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)*우리집!$B$11</f>
        <v/>
      </c>
      <c r="F40" s="143">
        <f>IF(욕실설정!$B$5="기본",우리집!$B$67,욕실설정!$B$5)</f>
        <v/>
      </c>
      <c r="G40" s="143">
        <f>IFERROR((INDEX(자재마스터!$F:$F, MATCH("bath_waterproof|"&amp;IF(욕실설정!$B$5="기본",우리집!$B$67,욕실설정!$B$5),자재마스터!$Z:$Z,0)) &amp; " " &amp; INDEX(자재마스터!$G:$G, MATCH("bath_waterproof|"&amp;IF(욕실설정!$B$5="기본",우리집!$B$67,욕실설정!$B$5),자재마스터!$Z:$Z,0))),"매칭없음")</f>
        <v/>
      </c>
      <c r="H40" s="154">
        <f>IFERROR(INDEX(자재마스터!$M:$M,MATCH("bath_waterproof|"&amp;IF(욕실설정!$B$5="기본",우리집!$B$67,욕실설정!$B$5),자재마스터!$Z:$Z,0)),0)</f>
        <v/>
      </c>
      <c r="I40" s="154">
        <f>IFERROR(E40*H40*IF(욕실설정!$D$5="Y",1,0),0)</f>
        <v/>
      </c>
      <c r="K40" s="118" t="inlineStr">
        <is>
          <t>실리콘 외기새시</t>
        </is>
      </c>
      <c r="L40" s="129">
        <f>SUMIF($C$9:$C$120,"실리콘 - 자재 (외기·새시)",$I$9:$I$120)</f>
        <v/>
      </c>
      <c r="P40" s="129">
        <f>IFERROR(INDEX(자재마스터!$D:$D,MATCH("bath_waterproof|"&amp;IF(욕실설정!$B$5="기본",우리집!$B$67,욕실설정!$B$5),자재마스터!$Z:$Z,0)),"")</f>
        <v/>
      </c>
    </row>
    <row r="41" ht="15" customHeight="1" s="95">
      <c r="A41" s="116" t="n">
        <v>27</v>
      </c>
      <c r="B41" s="116" t="inlineStr">
        <is>
          <t>공용욕실</t>
        </is>
      </c>
      <c r="C41" s="116" t="inlineStr">
        <is>
          <t>타일자재</t>
        </is>
      </c>
      <c r="D41" s="143">
        <f>IFERROR(INDEX(자재마스터!$J:$J,MATCH("bath_tile|"&amp;IF(욕실설정!$B$6="기본",우리집!$B$67,욕실설정!$B$6),자재마스터!$Z:$Z,0)),"-")</f>
        <v/>
      </c>
      <c r="E41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1" s="143">
        <f>IF(욕실설정!$B$6="기본",우리집!$B$67,욕실설정!$B$6)</f>
        <v/>
      </c>
      <c r="G41" s="143">
        <f>IFERROR((INDEX(자재마스터!$F:$F, MATCH("bath_tile|"&amp;IF(욕실설정!$B$6="기본",우리집!$B$67,욕실설정!$B$6),자재마스터!$Z:$Z,0)) &amp; " " &amp; INDEX(자재마스터!$G:$G, MATCH("bath_tile|"&amp;IF(욕실설정!$B$6="기본",우리집!$B$67,욕실설정!$B$6),자재마스터!$Z:$Z,0))),"매칭없음")</f>
        <v/>
      </c>
      <c r="H41" s="154">
        <f>IFERROR(INDEX(자재마스터!$M:$M,MATCH("bath_tile|"&amp;IF(욕실설정!$B$6="기본",우리집!$B$67,욕실설정!$B$6),자재마스터!$Z:$Z,0)),0)</f>
        <v/>
      </c>
      <c r="I41" s="154">
        <f>IFERROR(E41*H41*IF(욕실설정!$D$6="Y",1,0),0)</f>
        <v/>
      </c>
      <c r="K41" s="118" t="inlineStr">
        <is>
          <t>공간별 샷시 교체</t>
        </is>
      </c>
      <c r="L41" s="129">
        <f>SUMIF($C$9:$C$130,"샷시 교체 (공간별)",$I$9:$I$130)</f>
        <v/>
      </c>
      <c r="P41" s="129">
        <f>IFERROR(INDEX(자재마스터!$D:$D,MATCH("bath_tile|"&amp;IF(욕실설정!$B$6="기본",우리집!$B$67,욕실설정!$B$6),자재마스터!$Z:$Z,0)),"")</f>
        <v/>
      </c>
    </row>
    <row r="42" ht="15" customHeight="1" s="95">
      <c r="A42" s="116" t="n">
        <v>28</v>
      </c>
      <c r="B42" s="116" t="inlineStr">
        <is>
          <t>공용욕실</t>
        </is>
      </c>
      <c r="C42" s="116" t="inlineStr">
        <is>
          <t>타일시공</t>
        </is>
      </c>
      <c r="D42" s="143">
        <f>IFERROR(INDEX(자재마스터!$J:$J,MATCH("bath_tile_method|"&amp;IF(욕실설정!$B$7="기본",우리집!$B$67,욕실설정!$B$7),자재마스터!$Z:$Z,0)),"-")</f>
        <v/>
      </c>
      <c r="E42" s="144">
        <f>(INDEX(표준면적!$B$14:$G$21,6,MATCH(표준면적!$J$2,표준면적!$B$2:$G$2,0))+(INDEX(표준면적!$B$14:$G$21,6,(MATCH(표준면적!$J$2,표준면적!$B$2:$G$2,0)+1))-INDEX(표준면적!$B$14:$G$21,6,MATCH(표준면적!$J$2,표준면적!$B$2:$G$2,0)))*표준면적!$J$4)*우리집!$B$11</f>
        <v/>
      </c>
      <c r="F42" s="143">
        <f>IF(욕실설정!$B$7="기본",우리집!$B$67,욕실설정!$B$7)</f>
        <v/>
      </c>
      <c r="G42" s="143">
        <f>IFERROR((INDEX(자재마스터!$F:$F, MATCH("bath_tile_method|"&amp;IF(욕실설정!$B$7="기본",우리집!$B$67,욕실설정!$B$7),자재마스터!$Z:$Z,0)) &amp; " " &amp; INDEX(자재마스터!$G:$G, MATCH("bath_tile_method|"&amp;IF(욕실설정!$B$7="기본",우리집!$B$67,욕실설정!$B$7),자재마스터!$Z:$Z,0))),"매칭없음")</f>
        <v/>
      </c>
      <c r="H42" s="154">
        <f>IFERROR(INDEX(자재마스터!$M:$M,MATCH("bath_tile_method|"&amp;IF(욕실설정!$B$7="기본",우리집!$B$67,욕실설정!$B$7),자재마스터!$Z:$Z,0)),0)</f>
        <v/>
      </c>
      <c r="I42" s="154">
        <f>IFERROR(E42*H42*IF(욕실설정!$D$7="Y",1,0),0)</f>
        <v/>
      </c>
      <c r="K42" s="118" t="inlineStr">
        <is>
          <t>기타 공종 추가</t>
        </is>
      </c>
      <c r="L42" s="129">
        <f>SUMIF($C$9:$C$150,"엘리베이터 보양",$I$9:$I$150)+SUMIF($C$9:$C$150,"주민 동의서 징구",$I$9:$I$150)+SUMIF($C$9:$C$150,"준공청소",$I$9:$I$150)</f>
        <v/>
      </c>
      <c r="P42" s="129">
        <f>IFERROR(INDEX(자재마스터!$D:$D,MATCH("bath_tile_method|"&amp;IF(욕실설정!$B$7="기본",우리집!$B$67,욕실설정!$B$7),자재마스터!$Z:$Z,0)),"")</f>
        <v/>
      </c>
    </row>
    <row r="43" ht="15" customHeight="1" s="95">
      <c r="A43" s="116" t="n">
        <v>29</v>
      </c>
      <c r="B43" s="116" t="inlineStr">
        <is>
          <t>공용욕실</t>
        </is>
      </c>
      <c r="C43" s="116" t="inlineStr">
        <is>
          <t>파티션</t>
        </is>
      </c>
      <c r="D43" s="143">
        <f>IFERROR(INDEX(자재마스터!$J:$J,MATCH(IF(IF(욕실설정!$B$8="기본",우리집!$B$67,욕실설정!$B$8)="가성비","bath_brick|가성비","bath_partition|"&amp;IF(욕실설정!$B$8="기본",우리집!$B$67,욕실설정!$B$8)),자재마스터!$Z:$Z,0)),"-")</f>
        <v/>
      </c>
      <c r="E43" s="145">
        <f>우리집!$B$11</f>
        <v/>
      </c>
      <c r="F43" s="143">
        <f>IF(욕실설정!$B$8="기본",우리집!$B$67,욕실설정!$B$8)</f>
        <v/>
      </c>
      <c r="G43" s="143">
        <f>IFERROR((INDEX(자재마스터!$F:$F, MATCH(IF(IF(욕실설정!$B$8="기본",우리집!$B$67,욕실설정!$B$8)="가성비","bath_brick|가성비","bath_partition|"&amp;IF(욕실설정!$B$8="기본",우리집!$B$67,욕실설정!$B$8)),자재마스터!$Z:$Z,0)) &amp; " " &amp; INDEX(자재마스터!$G:$G, MATCH(IF(IF(욕실설정!$B$8="기본",우리집!$B$67,욕실설정!$B$8)="가성비","bath_brick|가성비","bath_partition|"&amp;IF(욕실설정!$B$8="기본",우리집!$B$67,욕실설정!$B$8)),자재마스터!$Z:$Z,0))),"매칭없음")</f>
        <v/>
      </c>
      <c r="H43" s="154">
        <f>IFERROR(INDEX(자재마스터!$M:$M,MATCH(IF(IF(욕실설정!$B$8="기본",우리집!$B$67,욕실설정!$B$8)="가성비","bath_brick|가성비","bath_partition|"&amp;IF(욕실설정!$B$8="기본",우리집!$B$67,욕실설정!$B$8)),자재마스터!$Z:$Z,0)),0)</f>
        <v/>
      </c>
      <c r="I43" s="154">
        <f>IFERROR(E43*H43*IF(욕실설정!$D$8="Y",1,0),0)</f>
        <v/>
      </c>
      <c r="K43" s="118" t="inlineStr">
        <is>
          <t>터닝도어</t>
        </is>
      </c>
      <c r="L43" s="129">
        <f>SUMIF($C$9:$C$150,"터닝도어",$I$9:$I$150)</f>
        <v/>
      </c>
      <c r="P43" s="129">
        <f>IFERROR(INDEX(자재마스터!$D:$D,MATCH(IF(IF(욕실설정!$B$8="기본",우리집!$B$67,욕실설정!$B$8)="가성비","bath_brick|가성비","bath_partition|"&amp;IF(욕실설정!$B$8="기본",우리집!$B$67,욕실설정!$B$8)),자재마스터!$Z:$Z,0)),"")</f>
        <v/>
      </c>
    </row>
    <row r="44" ht="15" customHeight="1" s="95">
      <c r="A44" s="116" t="n">
        <v>30</v>
      </c>
      <c r="B44" s="116" t="inlineStr">
        <is>
          <t>공용욕실</t>
        </is>
      </c>
      <c r="C44" s="116" t="inlineStr">
        <is>
          <t>천정</t>
        </is>
      </c>
      <c r="D44" s="143">
        <f>IFERROR(INDEX(자재마스터!$J:$J,MATCH("bath_ceiling|"&amp;IF(욕실설정!$B$9="기본",우리집!$B$67,욕실설정!$B$9),자재마스터!$Z:$Z,0)),"-")</f>
        <v/>
      </c>
      <c r="E44" s="144">
        <f>(INDEX(표준면적!$B$3:$G$10,6,MATCH(표준면적!$J$2,표준면적!$B$2:$G$2,0))+(INDEX(표준면적!$B$3:$G$10,6,(MATCH(표준면적!$J$2,표준면적!$B$2:$G$2,0)+1))-INDEX(표준면적!$B$3:$G$10,6,MATCH(표준면적!$J$2,표준면적!$B$2:$G$2,0)))*표준면적!$J$4)*우리집!$B$11</f>
        <v/>
      </c>
      <c r="F44" s="143">
        <f>IF(욕실설정!$B$9="기본",우리집!$B$67,욕실설정!$B$9)</f>
        <v/>
      </c>
      <c r="G44" s="143">
        <f>IFERROR((INDEX(자재마스터!$F:$F, MATCH("bath_ceiling|"&amp;IF(욕실설정!$B$9="기본",우리집!$B$67,욕실설정!$B$9),자재마스터!$Z:$Z,0)) &amp; " " &amp; INDEX(자재마스터!$G:$G, MATCH("bath_ceiling|"&amp;IF(욕실설정!$B$9="기본",우리집!$B$67,욕실설정!$B$9),자재마스터!$Z:$Z,0))),"매칭없음")</f>
        <v/>
      </c>
      <c r="H44" s="154">
        <f>IFERROR(INDEX(자재마스터!$M:$M,MATCH("bath_ceiling|"&amp;IF(욕실설정!$B$9="기본",우리집!$B$67,욕실설정!$B$9),자재마스터!$Z:$Z,0)),0)</f>
        <v/>
      </c>
      <c r="I44" s="154">
        <f>IFERROR(E44*H44*IF(욕실설정!$D$9="Y",1,0),0)</f>
        <v/>
      </c>
      <c r="K44" s="118" t="inlineStr">
        <is>
          <t>문틀/문짝</t>
        </is>
      </c>
      <c r="L44" s="129">
        <f>SUMIF($C$9:$C$150,"문틀/문짝",$I$9:$I$150)</f>
        <v/>
      </c>
      <c r="P44" s="129">
        <f>IFERROR(INDEX(자재마스터!$D:$D,MATCH("bath_ceiling|"&amp;IF(욕실설정!$B$9="기본",우리집!$B$67,욕실설정!$B$9),자재마스터!$Z:$Z,0)),"")</f>
        <v/>
      </c>
    </row>
    <row r="45" ht="15" customHeight="1" s="95">
      <c r="A45" s="116" t="n">
        <v>31</v>
      </c>
      <c r="B45" s="116" t="inlineStr">
        <is>
          <t>공용욕실</t>
        </is>
      </c>
      <c r="C45" s="116" t="inlineStr">
        <is>
          <t>세면대</t>
        </is>
      </c>
      <c r="D45" s="143">
        <f>IFERROR(INDEX(자재마스터!$J:$J,MATCH("bath_basin|"&amp;IF(욕실설정!$B$10="기본",우리집!$B$67,욕실설정!$B$10),자재마스터!$Z:$Z,0)),"-")</f>
        <v/>
      </c>
      <c r="E45" s="145">
        <f>우리집!$B$11</f>
        <v/>
      </c>
      <c r="F45" s="143">
        <f>IF(욕실설정!$B$10="기본",우리집!$B$67,욕실설정!$B$10)</f>
        <v/>
      </c>
      <c r="G45" s="143">
        <f>IFERROR((INDEX(자재마스터!$F:$F, MATCH("bath_basin|"&amp;IF(욕실설정!$B$10="기본",우리집!$B$67,욕실설정!$B$10),자재마스터!$Z:$Z,0)) &amp; " " &amp; INDEX(자재마스터!$G:$G, MATCH("bath_basin|"&amp;IF(욕실설정!$B$10="기본",우리집!$B$67,욕실설정!$B$10),자재마스터!$Z:$Z,0))),"매칭없음")</f>
        <v/>
      </c>
      <c r="H45" s="154">
        <f>IFERROR(INDEX(자재마스터!$M:$M,MATCH("bath_basin|"&amp;IF(욕실설정!$B$10="기본",우리집!$B$67,욕실설정!$B$10),자재마스터!$Z:$Z,0)),0)</f>
        <v/>
      </c>
      <c r="I45" s="154">
        <f>IFERROR(E45*H45*IF(욕실설정!$D$10="Y",1,0),0)</f>
        <v/>
      </c>
      <c r="K45" s="94" t="inlineStr">
        <is>
          <t>난방배관 교체</t>
        </is>
      </c>
      <c r="L45" s="94">
        <f>SUMIF($C$9:$C$160,"난방배관 교체",$I$9:$I$160)</f>
        <v/>
      </c>
      <c r="P45" s="129">
        <f>IFERROR(INDEX(자재마스터!$D:$D,MATCH("bath_basin|"&amp;IF(욕실설정!$B$10="기본",우리집!$B$67,욕실설정!$B$10),자재마스터!$Z:$Z,0)),"")</f>
        <v/>
      </c>
    </row>
    <row r="46" ht="15" customHeight="1" s="95">
      <c r="A46" s="116" t="n">
        <v>32</v>
      </c>
      <c r="B46" s="116" t="inlineStr">
        <is>
          <t>공용욕실</t>
        </is>
      </c>
      <c r="C46" s="116" t="inlineStr">
        <is>
          <t>수전</t>
        </is>
      </c>
      <c r="D46" s="143">
        <f>IFERROR(INDEX(자재마스터!$J:$J,MATCH("bath_faucet|"&amp;IF(욕실설정!$B$11="기본",우리집!$B$67,욕실설정!$B$11),자재마스터!$Z:$Z,0)),"-")</f>
        <v/>
      </c>
      <c r="E46" s="145">
        <f>우리집!$B$11</f>
        <v/>
      </c>
      <c r="F46" s="143">
        <f>IF(욕실설정!$B$11="기본",우리집!$B$67,욕실설정!$B$11)</f>
        <v/>
      </c>
      <c r="G46" s="143">
        <f>IFERROR((INDEX(자재마스터!$F:$F, MATCH("bath_faucet|"&amp;IF(욕실설정!$B$11="기본",우리집!$B$67,욕실설정!$B$11),자재마스터!$Z:$Z,0)) &amp; " " &amp; INDEX(자재마스터!$G:$G, MATCH("bath_faucet|"&amp;IF(욕실설정!$B$11="기본",우리집!$B$67,욕실설정!$B$11),자재마스터!$Z:$Z,0))),"매칭없음")</f>
        <v/>
      </c>
      <c r="H46" s="154">
        <f>IFERROR(INDEX(자재마스터!$M:$M,MATCH("bath_faucet|"&amp;IF(욕실설정!$B$11="기본",우리집!$B$67,욕실설정!$B$11),자재마스터!$Z:$Z,0)),0)</f>
        <v/>
      </c>
      <c r="I46" s="154">
        <f>IFERROR(E46*H46*IF(욕실설정!$D$11="Y",1,0),0)</f>
        <v/>
      </c>
      <c r="P46" s="129">
        <f>IFERROR(INDEX(자재마스터!$D:$D,MATCH("bath_faucet|"&amp;IF(욕실설정!$B$11="기본",우리집!$B$67,욕실설정!$B$11),자재마스터!$Z:$Z,0)),"")</f>
        <v/>
      </c>
    </row>
    <row r="47" ht="15" customHeight="1" s="95">
      <c r="A47" s="116" t="n">
        <v>33</v>
      </c>
      <c r="B47" s="116" t="inlineStr">
        <is>
          <t>공용욕실</t>
        </is>
      </c>
      <c r="C47" s="116" t="inlineStr">
        <is>
          <t>양변기</t>
        </is>
      </c>
      <c r="D47" s="143">
        <f>IFERROR(INDEX(자재마스터!$J:$J,MATCH("bath_toilet|"&amp;IF(욕실설정!$B$12="기본",우리집!$B$67,욕실설정!$B$12),자재마스터!$Z:$Z,0)),"-")</f>
        <v/>
      </c>
      <c r="E47" s="145">
        <f>우리집!$B$11</f>
        <v/>
      </c>
      <c r="F47" s="143">
        <f>IF(욕실설정!$B$12="기본",우리집!$B$67,욕실설정!$B$12)</f>
        <v/>
      </c>
      <c r="G47" s="143">
        <f>IFERROR((INDEX(자재마스터!$F:$F, MATCH("bath_toilet|"&amp;IF(욕실설정!$B$12="기본",우리집!$B$67,욕실설정!$B$12),자재마스터!$Z:$Z,0)) &amp; " " &amp; INDEX(자재마스터!$G:$G, MATCH("bath_toilet|"&amp;IF(욕실설정!$B$12="기본",우리집!$B$67,욕실설정!$B$12),자재마스터!$Z:$Z,0))),"매칭없음")</f>
        <v/>
      </c>
      <c r="H47" s="154">
        <f>IFERROR(INDEX(자재마스터!$M:$M,MATCH("bath_toilet|"&amp;IF(욕실설정!$B$12="기본",우리집!$B$67,욕실설정!$B$12),자재마스터!$Z:$Z,0)),0)</f>
        <v/>
      </c>
      <c r="I47" s="154">
        <f>IFERROR(E47*H47*IF(욕실설정!$D$12="Y",1,0),0)</f>
        <v/>
      </c>
      <c r="P47" s="129">
        <f>IFERROR(INDEX(자재마스터!$D:$D,MATCH("bath_toilet|"&amp;IF(욕실설정!$B$12="기본",우리집!$B$67,욕실설정!$B$12),자재마스터!$Z:$Z,0)),"")</f>
        <v/>
      </c>
    </row>
    <row r="48" ht="15" customHeight="1" s="95">
      <c r="A48" s="116" t="n">
        <v>34</v>
      </c>
      <c r="B48" s="116" t="inlineStr">
        <is>
          <t>공용욕실</t>
        </is>
      </c>
      <c r="C48" s="116" t="inlineStr">
        <is>
          <t>악세사리</t>
        </is>
      </c>
      <c r="D48" s="143">
        <f>IFERROR(INDEX(자재마스터!$J:$J,MATCH("bath_accessory|"&amp;IF(욕실설정!$B$13="기본",우리집!$B$67,욕실설정!$B$13),자재마스터!$Z:$Z,0)),"-")</f>
        <v/>
      </c>
      <c r="E48" s="145">
        <f>우리집!$B$11</f>
        <v/>
      </c>
      <c r="F48" s="143">
        <f>IF(욕실설정!$B$13="기본",우리집!$B$67,욕실설정!$B$13)</f>
        <v/>
      </c>
      <c r="G48" s="143">
        <f>IFERROR((INDEX(자재마스터!$F:$F, MATCH("bath_accessory|"&amp;IF(욕실설정!$B$13="기본",우리집!$B$67,욕실설정!$B$13),자재마스터!$Z:$Z,0)) &amp; " " &amp; INDEX(자재마스터!$G:$G, MATCH("bath_accessory|"&amp;IF(욕실설정!$B$13="기본",우리집!$B$67,욕실설정!$B$13),자재마스터!$Z:$Z,0))),"매칭없음")</f>
        <v/>
      </c>
      <c r="H48" s="154">
        <f>IFERROR(INDEX(자재마스터!$M:$M,MATCH("bath_accessory|"&amp;IF(욕실설정!$B$13="기본",우리집!$B$67,욕실설정!$B$13),자재마스터!$Z:$Z,0)),0)</f>
        <v/>
      </c>
      <c r="I48" s="154">
        <f>IFERROR(E48*H48*IF(욕실설정!$D$13="Y",1,0),0)</f>
        <v/>
      </c>
      <c r="P48" s="129">
        <f>IFERROR(INDEX(자재마스터!$D:$D,MATCH("bath_accessory|"&amp;IF(욕실설정!$B$13="기본",우리집!$B$67,욕실설정!$B$13),자재마스터!$Z:$Z,0)),"")</f>
        <v/>
      </c>
    </row>
    <row r="49" ht="15" customHeight="1" s="95">
      <c r="A49" s="116" t="n">
        <v>35</v>
      </c>
      <c r="B49" s="116" t="inlineStr">
        <is>
          <t>공용욕실</t>
        </is>
      </c>
      <c r="C49" s="116" t="inlineStr">
        <is>
          <t>줄눈</t>
        </is>
      </c>
      <c r="D49" s="143">
        <f>IFERROR(INDEX(자재마스터!$J:$J,MATCH("bath_grout|"&amp;IF(욕실설정!$B$14="기본",우리집!$B$67,욕실설정!$B$14),자재마스터!$Z:$Z,0)),"-")</f>
        <v/>
      </c>
      <c r="E49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9" s="143">
        <f>IF(욕실설정!$B$14="기본",우리집!$B$67,욕실설정!$B$14)</f>
        <v/>
      </c>
      <c r="G49" s="143">
        <f>IFERROR((INDEX(자재마스터!$F:$F, MATCH("bath_grout|"&amp;IF(욕실설정!$B$14="기본",우리집!$B$67,욕실설정!$B$14),자재마스터!$Z:$Z,0)) &amp; " " &amp; INDEX(자재마스터!$G:$G, MATCH("bath_grout|"&amp;IF(욕실설정!$B$14="기본",우리집!$B$67,욕실설정!$B$14),자재마스터!$Z:$Z,0))),"매칭없음")</f>
        <v/>
      </c>
      <c r="H49" s="154">
        <f>IFERROR(INDEX(자재마스터!$M:$M,MATCH("bath_grout|"&amp;IF(욕실설정!$B$14="기본",우리집!$B$67,욕실설정!$B$14),자재마스터!$Z:$Z,0)),0)</f>
        <v/>
      </c>
      <c r="I49" s="154">
        <f>IFERROR(E49*H49*IF(욕실설정!$D$14="Y",1,0),0)</f>
        <v/>
      </c>
      <c r="P49" s="129">
        <f>IFERROR(INDEX(자재마스터!$D:$D,MATCH("bath_grout|"&amp;IF(욕실설정!$B$14="기본",우리집!$B$67,욕실설정!$B$14),자재마스터!$Z:$Z,0)),"")</f>
        <v/>
      </c>
    </row>
    <row r="50" ht="15" customHeight="1" s="95">
      <c r="A50" s="116" t="n">
        <v>36</v>
      </c>
      <c r="B50" s="116" t="inlineStr">
        <is>
          <t>부부욕실</t>
        </is>
      </c>
      <c r="C50" s="116" t="inlineStr">
        <is>
          <t>젠다이</t>
        </is>
      </c>
      <c r="D50" s="143">
        <f>IFERROR(INDEX(자재마스터!$J:$J,MATCH("bath_jendai|"&amp;IF(욕실설정!$C$4="기본",우리집!$B$68,욕실설정!$C$4),자재마스터!$Z:$Z,0)),"-")</f>
        <v/>
      </c>
      <c r="E50" s="145">
        <f>우리집!$B$12</f>
        <v/>
      </c>
      <c r="F50" s="143">
        <f>IF(욕실설정!$C$4="기본",우리집!$B$68,욕실설정!$C$4)</f>
        <v/>
      </c>
      <c r="G50" s="143">
        <f>IFERROR((INDEX(자재마스터!$F:$F, MATCH("bath_jendai|"&amp;IF(욕실설정!$C$4="기본",우리집!$B$68,욕실설정!$C$4),자재마스터!$Z:$Z,0)) &amp; " " &amp; INDEX(자재마스터!$G:$G, MATCH("bath_jendai|"&amp;IF(욕실설정!$C$4="기본",우리집!$B$68,욕실설정!$C$4),자재마스터!$Z:$Z,0))),"매칭없음")</f>
        <v/>
      </c>
      <c r="H50" s="154">
        <f>IFERROR(INDEX(자재마스터!$M:$M,MATCH("bath_jendai|"&amp;IF(욕실설정!$C$4="기본",우리집!$B$68,욕실설정!$C$4),자재마스터!$Z:$Z,0)),0)</f>
        <v/>
      </c>
      <c r="I50" s="154">
        <f>IFERROR(E50*H50*IF(욕실설정!$E$4="Y",1,0),0)</f>
        <v/>
      </c>
      <c r="P50" s="129">
        <f>IFERROR(INDEX(자재마스터!$D:$D,MATCH("bath_jendai|"&amp;IF(욕실설정!$C$4="기본",우리집!$B$68,욕실설정!$C$4),자재마스터!$Z:$Z,0)),"")</f>
        <v/>
      </c>
    </row>
    <row r="51" ht="15" customHeight="1" s="95">
      <c r="A51" s="116" t="n">
        <v>37</v>
      </c>
      <c r="B51" s="116" t="inlineStr">
        <is>
          <t>부부욕실</t>
        </is>
      </c>
      <c r="C51" s="116" t="inlineStr">
        <is>
          <t>방수</t>
        </is>
      </c>
      <c r="D51" s="143">
        <f>IFERROR(INDEX(자재마스터!$J:$J,MATCH("bath_waterproof|"&amp;IF(욕실설정!$C$5="기본",우리집!$B$68,욕실설정!$C$5),자재마스터!$Z:$Z,0)),"-")</f>
        <v/>
      </c>
      <c r="E51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)*우리집!$B$12</f>
        <v/>
      </c>
      <c r="F51" s="143">
        <f>IF(욕실설정!$C$5="기본",우리집!$B$68,욕실설정!$C$5)</f>
        <v/>
      </c>
      <c r="G51" s="143">
        <f>IFERROR((INDEX(자재마스터!$F:$F, MATCH("bath_waterproof|"&amp;IF(욕실설정!$C$5="기본",우리집!$B$68,욕실설정!$C$5),자재마스터!$Z:$Z,0)) &amp; " " &amp; INDEX(자재마스터!$G:$G, MATCH("bath_waterproof|"&amp;IF(욕실설정!$C$5="기본",우리집!$B$68,욕실설정!$C$5),자재마스터!$Z:$Z,0))),"매칭없음")</f>
        <v/>
      </c>
      <c r="H51" s="154">
        <f>IFERROR(INDEX(자재마스터!$M:$M,MATCH("bath_waterproof|"&amp;IF(욕실설정!$C$5="기본",우리집!$B$68,욕실설정!$C$5),자재마스터!$Z:$Z,0)),0)</f>
        <v/>
      </c>
      <c r="I51" s="154">
        <f>IFERROR(E51*H51*IF(욕실설정!$E$5="Y",1,0),0)</f>
        <v/>
      </c>
      <c r="P51" s="129">
        <f>IFERROR(INDEX(자재마스터!$D:$D,MATCH("bath_waterproof|"&amp;IF(욕실설정!$C$5="기본",우리집!$B$68,욕실설정!$C$5),자재마스터!$Z:$Z,0)),"")</f>
        <v/>
      </c>
    </row>
    <row r="52" ht="15" customHeight="1" s="95">
      <c r="A52" s="116" t="n">
        <v>38</v>
      </c>
      <c r="B52" s="116" t="inlineStr">
        <is>
          <t>부부욕실</t>
        </is>
      </c>
      <c r="C52" s="116" t="inlineStr">
        <is>
          <t>타일자재</t>
        </is>
      </c>
      <c r="D52" s="143">
        <f>IFERROR(INDEX(자재마스터!$J:$J,MATCH("bath_tile|"&amp;IF(욕실설정!$C$6="기본",우리집!$B$68,욕실설정!$C$6),자재마스터!$Z:$Z,0)),"-")</f>
        <v/>
      </c>
      <c r="E52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52" s="143">
        <f>IF(욕실설정!$C$6="기본",우리집!$B$68,욕실설정!$C$6)</f>
        <v/>
      </c>
      <c r="G52" s="143">
        <f>IFERROR((INDEX(자재마스터!$F:$F, MATCH("bath_tile|"&amp;IF(욕실설정!$C$6="기본",우리집!$B$68,욕실설정!$C$6),자재마스터!$Z:$Z,0)) &amp; " " &amp; INDEX(자재마스터!$G:$G, MATCH("bath_tile|"&amp;IF(욕실설정!$C$6="기본",우리집!$B$68,욕실설정!$C$6),자재마스터!$Z:$Z,0))),"매칭없음")</f>
        <v/>
      </c>
      <c r="H52" s="154">
        <f>IFERROR(INDEX(자재마스터!$M:$M,MATCH("bath_tile|"&amp;IF(욕실설정!$C$6="기본",우리집!$B$68,욕실설정!$C$6),자재마스터!$Z:$Z,0)),0)</f>
        <v/>
      </c>
      <c r="I52" s="154">
        <f>IFERROR(E52*H52*IF(욕실설정!$E$6="Y",1,0),0)</f>
        <v/>
      </c>
      <c r="P52" s="129">
        <f>IFERROR(INDEX(자재마스터!$D:$D,MATCH("bath_tile|"&amp;IF(욕실설정!$C$6="기본",우리집!$B$68,욕실설정!$C$6),자재마스터!$Z:$Z,0)),"")</f>
        <v/>
      </c>
    </row>
    <row r="53" ht="15" customHeight="1" s="95">
      <c r="A53" s="116" t="n">
        <v>39</v>
      </c>
      <c r="B53" s="116" t="inlineStr">
        <is>
          <t>부부욕실</t>
        </is>
      </c>
      <c r="C53" s="116" t="inlineStr">
        <is>
          <t>타일시공</t>
        </is>
      </c>
      <c r="D53" s="143">
        <f>IFERROR(INDEX(자재마스터!$J:$J,MATCH("bath_tile_method|"&amp;IF(욕실설정!$C$7="기본",우리집!$B$68,욕실설정!$C$7),자재마스터!$Z:$Z,0)),"-")</f>
        <v/>
      </c>
      <c r="E53" s="144">
        <f>(INDEX(표준면적!$B$14:$G$21,7,MATCH(표준면적!$J$2,표준면적!$B$2:$G$2,0))+(INDEX(표준면적!$B$14:$G$21,7,(MATCH(표준면적!$J$2,표준면적!$B$2:$G$2,0)+1))-INDEX(표준면적!$B$14:$G$21,7,MATCH(표준면적!$J$2,표준면적!$B$2:$G$2,0)))*표준면적!$J$4)*우리집!$B$12</f>
        <v/>
      </c>
      <c r="F53" s="143">
        <f>IF(욕실설정!$C$7="기본",우리집!$B$68,욕실설정!$C$7)</f>
        <v/>
      </c>
      <c r="G53" s="143">
        <f>IFERROR((INDEX(자재마스터!$F:$F, MATCH("bath_tile_method|"&amp;IF(욕실설정!$C$7="기본",우리집!$B$68,욕실설정!$C$7),자재마스터!$Z:$Z,0)) &amp; " " &amp; INDEX(자재마스터!$G:$G, MATCH("bath_tile_method|"&amp;IF(욕실설정!$C$7="기본",우리집!$B$68,욕실설정!$C$7),자재마스터!$Z:$Z,0))),"매칭없음")</f>
        <v/>
      </c>
      <c r="H53" s="154">
        <f>IFERROR(INDEX(자재마스터!$M:$M,MATCH("bath_tile_method|"&amp;IF(욕실설정!$C$7="기본",우리집!$B$68,욕실설정!$C$7),자재마스터!$Z:$Z,0)),0)</f>
        <v/>
      </c>
      <c r="I53" s="154">
        <f>IFERROR(E53*H53*IF(욕실설정!$E$7="Y",1,0),0)</f>
        <v/>
      </c>
      <c r="P53" s="129">
        <f>IFERROR(INDEX(자재마스터!$D:$D,MATCH("bath_tile_method|"&amp;IF(욕실설정!$C$7="기본",우리집!$B$68,욕실설정!$C$7),자재마스터!$Z:$Z,0)),"")</f>
        <v/>
      </c>
    </row>
    <row r="54" ht="15" customHeight="1" s="95">
      <c r="A54" s="116" t="n">
        <v>40</v>
      </c>
      <c r="B54" s="116" t="inlineStr">
        <is>
          <t>부부욕실</t>
        </is>
      </c>
      <c r="C54" s="116" t="inlineStr">
        <is>
          <t>파티션</t>
        </is>
      </c>
      <c r="D54" s="143">
        <f>IFERROR(INDEX(자재마스터!$J:$J,MATCH(IF(IF(욕실설정!$C$8="기본",우리집!$B$68,욕실설정!$C$8)="가성비","bath_brick|가성비","bath_partition|"&amp;IF(욕실설정!$C$8="기본",우리집!$B$68,욕실설정!$C$8)),자재마스터!$Z:$Z,0)),"-")</f>
        <v/>
      </c>
      <c r="E54" s="145">
        <f>우리집!$B$12</f>
        <v/>
      </c>
      <c r="F54" s="143">
        <f>IF(욕실설정!$C$8="기본",우리집!$B$68,욕실설정!$C$8)</f>
        <v/>
      </c>
      <c r="G54" s="143">
        <f>IFERROR((INDEX(자재마스터!$F:$F, MATCH(IF(IF(욕실설정!$C$8="기본",우리집!$B$68,욕실설정!$C$8)="가성비","bath_brick|가성비","bath_partition|"&amp;IF(욕실설정!$C$8="기본",우리집!$B$68,욕실설정!$C$8)),자재마스터!$Z:$Z,0)) &amp; " " &amp; INDEX(자재마스터!$G:$G, MATCH(IF(IF(욕실설정!$C$8="기본",우리집!$B$68,욕실설정!$C$8)="가성비","bath_brick|가성비","bath_partition|"&amp;IF(욕실설정!$C$8="기본",우리집!$B$68,욕실설정!$C$8)),자재마스터!$Z:$Z,0))),"매칭없음")</f>
        <v/>
      </c>
      <c r="H54" s="154">
        <f>IFERROR(INDEX(자재마스터!$M:$M,MATCH(IF(IF(욕실설정!$C$8="기본",우리집!$B$68,욕실설정!$C$8)="가성비","bath_brick|가성비","bath_partition|"&amp;IF(욕실설정!$C$8="기본",우리집!$B$68,욕실설정!$C$8)),자재마스터!$Z:$Z,0)),0)</f>
        <v/>
      </c>
      <c r="I54" s="154">
        <f>IFERROR(E54*H54*IF(욕실설정!$E$8="Y",1,0),0)</f>
        <v/>
      </c>
      <c r="P54" s="129">
        <f>IFERROR(INDEX(자재마스터!$D:$D,MATCH(IF(IF(욕실설정!$C$8="기본",우리집!$B$68,욕실설정!$C$8)="가성비","bath_brick|가성비","bath_partition|"&amp;IF(욕실설정!$C$8="기본",우리집!$B$68,욕실설정!$C$8)),자재마스터!$Z:$Z,0)),"")</f>
        <v/>
      </c>
    </row>
    <row r="55" ht="15" customHeight="1" s="95">
      <c r="A55" s="116" t="n">
        <v>41</v>
      </c>
      <c r="B55" s="116" t="inlineStr">
        <is>
          <t>부부욕실</t>
        </is>
      </c>
      <c r="C55" s="116" t="inlineStr">
        <is>
          <t>천정</t>
        </is>
      </c>
      <c r="D55" s="143">
        <f>IFERROR(INDEX(자재마스터!$J:$J,MATCH("bath_ceiling|"&amp;IF(욕실설정!$C$9="기본",우리집!$B$68,욕실설정!$C$9),자재마스터!$Z:$Z,0)),"-")</f>
        <v/>
      </c>
      <c r="E55" s="144">
        <f>(INDEX(표준면적!$B$3:$G$10,7,MATCH(표준면적!$J$2,표준면적!$B$2:$G$2,0))+(INDEX(표준면적!$B$3:$G$10,7,(MATCH(표준면적!$J$2,표준면적!$B$2:$G$2,0)+1))-INDEX(표준면적!$B$3:$G$10,7,MATCH(표준면적!$J$2,표준면적!$B$2:$G$2,0)))*표준면적!$J$4)*우리집!$B$12</f>
        <v/>
      </c>
      <c r="F55" s="143">
        <f>IF(욕실설정!$C$9="기본",우리집!$B$68,욕실설정!$C$9)</f>
        <v/>
      </c>
      <c r="G55" s="143">
        <f>IFERROR((INDEX(자재마스터!$F:$F, MATCH("bath_ceiling|"&amp;IF(욕실설정!$C$9="기본",우리집!$B$68,욕실설정!$C$9),자재마스터!$Z:$Z,0)) &amp; " " &amp; INDEX(자재마스터!$G:$G, MATCH("bath_ceiling|"&amp;IF(욕실설정!$C$9="기본",우리집!$B$68,욕실설정!$C$9),자재마스터!$Z:$Z,0))),"매칭없음")</f>
        <v/>
      </c>
      <c r="H55" s="154">
        <f>IFERROR(INDEX(자재마스터!$M:$M,MATCH("bath_ceiling|"&amp;IF(욕실설정!$C$9="기본",우리집!$B$68,욕실설정!$C$9),자재마스터!$Z:$Z,0)),0)</f>
        <v/>
      </c>
      <c r="I55" s="154">
        <f>IFERROR(E55*H55*IF(욕실설정!$E$9="Y",1,0),0)</f>
        <v/>
      </c>
      <c r="P55" s="129">
        <f>IFERROR(INDEX(자재마스터!$D:$D,MATCH("bath_ceiling|"&amp;IF(욕실설정!$C$9="기본",우리집!$B$68,욕실설정!$C$9),자재마스터!$Z:$Z,0)),"")</f>
        <v/>
      </c>
    </row>
    <row r="56" ht="15" customHeight="1" s="95">
      <c r="A56" s="116" t="n">
        <v>42</v>
      </c>
      <c r="B56" s="116" t="inlineStr">
        <is>
          <t>부부욕실</t>
        </is>
      </c>
      <c r="C56" s="116" t="inlineStr">
        <is>
          <t>세면대</t>
        </is>
      </c>
      <c r="D56" s="143">
        <f>IFERROR(INDEX(자재마스터!$J:$J,MATCH("bath_basin|"&amp;IF(욕실설정!$C$10="기본",우리집!$B$68,욕실설정!$C$10),자재마스터!$Z:$Z,0)),"-")</f>
        <v/>
      </c>
      <c r="E56" s="145">
        <f>우리집!$B$12</f>
        <v/>
      </c>
      <c r="F56" s="143">
        <f>IF(욕실설정!$C$10="기본",우리집!$B$68,욕실설정!$C$10)</f>
        <v/>
      </c>
      <c r="G56" s="143">
        <f>IFERROR((INDEX(자재마스터!$F:$F, MATCH("bath_basin|"&amp;IF(욕실설정!$C$10="기본",우리집!$B$68,욕실설정!$C$10),자재마스터!$Z:$Z,0)) &amp; " " &amp; INDEX(자재마스터!$G:$G, MATCH("bath_basin|"&amp;IF(욕실설정!$C$10="기본",우리집!$B$68,욕실설정!$C$10),자재마스터!$Z:$Z,0))),"매칭없음")</f>
        <v/>
      </c>
      <c r="H56" s="154">
        <f>IFERROR(INDEX(자재마스터!$M:$M,MATCH("bath_basin|"&amp;IF(욕실설정!$C$10="기본",우리집!$B$68,욕실설정!$C$10),자재마스터!$Z:$Z,0)),0)</f>
        <v/>
      </c>
      <c r="I56" s="154">
        <f>IFERROR(E56*H56*IF(욕실설정!$E$10="Y",1,0),0)</f>
        <v/>
      </c>
      <c r="P56" s="129">
        <f>IFERROR(INDEX(자재마스터!$D:$D,MATCH("bath_basin|"&amp;IF(욕실설정!$C$10="기본",우리집!$B$68,욕실설정!$C$10),자재마스터!$Z:$Z,0)),"")</f>
        <v/>
      </c>
    </row>
    <row r="57" ht="15" customHeight="1" s="95">
      <c r="A57" s="116" t="n">
        <v>43</v>
      </c>
      <c r="B57" s="116" t="inlineStr">
        <is>
          <t>부부욕실</t>
        </is>
      </c>
      <c r="C57" s="116" t="inlineStr">
        <is>
          <t>수전</t>
        </is>
      </c>
      <c r="D57" s="143">
        <f>IFERROR(INDEX(자재마스터!$J:$J,MATCH("bath_faucet|"&amp;IF(욕실설정!$C$11="기본",우리집!$B$68,욕실설정!$C$11),자재마스터!$Z:$Z,0)),"-")</f>
        <v/>
      </c>
      <c r="E57" s="145">
        <f>우리집!$B$12</f>
        <v/>
      </c>
      <c r="F57" s="143">
        <f>IF(욕실설정!$C$11="기본",우리집!$B$68,욕실설정!$C$11)</f>
        <v/>
      </c>
      <c r="G57" s="143">
        <f>IFERROR((INDEX(자재마스터!$F:$F, MATCH("bath_faucet|"&amp;IF(욕실설정!$C$11="기본",우리집!$B$68,욕실설정!$C$11),자재마스터!$Z:$Z,0)) &amp; " " &amp; INDEX(자재마스터!$G:$G, MATCH("bath_faucet|"&amp;IF(욕실설정!$C$11="기본",우리집!$B$68,욕실설정!$C$11),자재마스터!$Z:$Z,0))),"매칭없음")</f>
        <v/>
      </c>
      <c r="H57" s="154">
        <f>IFERROR(INDEX(자재마스터!$M:$M,MATCH("bath_faucet|"&amp;IF(욕실설정!$C$11="기본",우리집!$B$68,욕실설정!$C$11),자재마스터!$Z:$Z,0)),0)</f>
        <v/>
      </c>
      <c r="I57" s="154">
        <f>IFERROR(E57*H57*IF(욕실설정!$E$11="Y",1,0),0)</f>
        <v/>
      </c>
      <c r="P57" s="129">
        <f>IFERROR(INDEX(자재마스터!$D:$D,MATCH("bath_faucet|"&amp;IF(욕실설정!$C$11="기본",우리집!$B$68,욕실설정!$C$11),자재마스터!$Z:$Z,0)),"")</f>
        <v/>
      </c>
    </row>
    <row r="58" ht="15" customHeight="1" s="95">
      <c r="A58" s="116" t="n">
        <v>44</v>
      </c>
      <c r="B58" s="116" t="inlineStr">
        <is>
          <t>부부욕실</t>
        </is>
      </c>
      <c r="C58" s="116" t="inlineStr">
        <is>
          <t>양변기</t>
        </is>
      </c>
      <c r="D58" s="143">
        <f>IFERROR(INDEX(자재마스터!$J:$J,MATCH("bath_toilet|"&amp;IF(욕실설정!$C$12="기본",우리집!$B$68,욕실설정!$C$12),자재마스터!$Z:$Z,0)),"-")</f>
        <v/>
      </c>
      <c r="E58" s="145">
        <f>우리집!$B$12</f>
        <v/>
      </c>
      <c r="F58" s="143">
        <f>IF(욕실설정!$C$12="기본",우리집!$B$68,욕실설정!$C$12)</f>
        <v/>
      </c>
      <c r="G58" s="143">
        <f>IFERROR((INDEX(자재마스터!$F:$F, MATCH("bath_toilet|"&amp;IF(욕실설정!$C$12="기본",우리집!$B$68,욕실설정!$C$12),자재마스터!$Z:$Z,0)) &amp; " " &amp; INDEX(자재마스터!$G:$G, MATCH("bath_toilet|"&amp;IF(욕실설정!$C$12="기본",우리집!$B$68,욕실설정!$C$12),자재마스터!$Z:$Z,0))),"매칭없음")</f>
        <v/>
      </c>
      <c r="H58" s="154">
        <f>IFERROR(INDEX(자재마스터!$M:$M,MATCH("bath_toilet|"&amp;IF(욕실설정!$C$12="기본",우리집!$B$68,욕실설정!$C$12),자재마스터!$Z:$Z,0)),0)</f>
        <v/>
      </c>
      <c r="I58" s="154">
        <f>IFERROR(E58*H58*IF(욕실설정!$E$12="Y",1,0),0)</f>
        <v/>
      </c>
      <c r="P58" s="129">
        <f>IFERROR(INDEX(자재마스터!$D:$D,MATCH("bath_toilet|"&amp;IF(욕실설정!$C$12="기본",우리집!$B$68,욕실설정!$C$12),자재마스터!$Z:$Z,0)),"")</f>
        <v/>
      </c>
    </row>
    <row r="59" ht="15" customHeight="1" s="95">
      <c r="A59" s="116" t="n">
        <v>45</v>
      </c>
      <c r="B59" s="116" t="inlineStr">
        <is>
          <t>부부욕실</t>
        </is>
      </c>
      <c r="C59" s="116" t="inlineStr">
        <is>
          <t>악세사리</t>
        </is>
      </c>
      <c r="D59" s="143">
        <f>IFERROR(INDEX(자재마스터!$J:$J,MATCH("bath_accessory|"&amp;IF(욕실설정!$C$13="기본",우리집!$B$68,욕실설정!$C$13),자재마스터!$Z:$Z,0)),"-")</f>
        <v/>
      </c>
      <c r="E59" s="145">
        <f>우리집!$B$12</f>
        <v/>
      </c>
      <c r="F59" s="143">
        <f>IF(욕실설정!$C$13="기본",우리집!$B$68,욕실설정!$C$13)</f>
        <v/>
      </c>
      <c r="G59" s="143">
        <f>IFERROR((INDEX(자재마스터!$F:$F, MATCH("bath_accessory|"&amp;IF(욕실설정!$C$13="기본",우리집!$B$68,욕실설정!$C$13),자재마스터!$Z:$Z,0)) &amp; " " &amp; INDEX(자재마스터!$G:$G, MATCH("bath_accessory|"&amp;IF(욕실설정!$C$13="기본",우리집!$B$68,욕실설정!$C$13),자재마스터!$Z:$Z,0))),"매칭없음")</f>
        <v/>
      </c>
      <c r="H59" s="154">
        <f>IFERROR(INDEX(자재마스터!$M:$M,MATCH("bath_accessory|"&amp;IF(욕실설정!$C$13="기본",우리집!$B$68,욕실설정!$C$13),자재마스터!$Z:$Z,0)),0)</f>
        <v/>
      </c>
      <c r="I59" s="154">
        <f>IFERROR(E59*H59*IF(욕실설정!$E$13="Y",1,0),0)</f>
        <v/>
      </c>
      <c r="P59" s="129">
        <f>IFERROR(INDEX(자재마스터!$D:$D,MATCH("bath_accessory|"&amp;IF(욕실설정!$C$13="기본",우리집!$B$68,욕실설정!$C$13),자재마스터!$Z:$Z,0)),"")</f>
        <v/>
      </c>
    </row>
    <row r="60" ht="15" customHeight="1" s="95">
      <c r="A60" s="116" t="n">
        <v>46</v>
      </c>
      <c r="B60" s="116" t="inlineStr">
        <is>
          <t>부부욕실</t>
        </is>
      </c>
      <c r="C60" s="116" t="inlineStr">
        <is>
          <t>줄눈</t>
        </is>
      </c>
      <c r="D60" s="143">
        <f>IFERROR(INDEX(자재마스터!$J:$J,MATCH("bath_grout|"&amp;IF(욕실설정!$C$14="기본",우리집!$B$68,욕실설정!$C$14),자재마스터!$Z:$Z,0)),"-")</f>
        <v/>
      </c>
      <c r="E60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60" s="143">
        <f>IF(욕실설정!$C$14="기본",우리집!$B$68,욕실설정!$C$14)</f>
        <v/>
      </c>
      <c r="G60" s="143">
        <f>IFERROR((INDEX(자재마스터!$F:$F, MATCH("bath_grout|"&amp;IF(욕실설정!$C$14="기본",우리집!$B$68,욕실설정!$C$14),자재마스터!$Z:$Z,0)) &amp; " " &amp; INDEX(자재마스터!$G:$G, MATCH("bath_grout|"&amp;IF(욕실설정!$C$14="기본",우리집!$B$68,욕실설정!$C$14),자재마스터!$Z:$Z,0))),"매칭없음")</f>
        <v/>
      </c>
      <c r="H60" s="154">
        <f>IFERROR(INDEX(자재마스터!$M:$M,MATCH("bath_grout|"&amp;IF(욕실설정!$C$14="기본",우리집!$B$68,욕실설정!$C$14),자재마스터!$Z:$Z,0)),0)</f>
        <v/>
      </c>
      <c r="I60" s="154">
        <f>IFERROR(E60*H60*IF(욕실설정!$E$14="Y",1,0),0)</f>
        <v/>
      </c>
      <c r="P60" s="129">
        <f>IFERROR(INDEX(자재마스터!$D:$D,MATCH("bath_grout|"&amp;IF(욕실설정!$C$14="기본",우리집!$B$68,욕실설정!$C$14),자재마스터!$Z:$Z,0)),"")</f>
        <v/>
      </c>
    </row>
    <row r="61" ht="15" customHeight="1" s="95">
      <c r="A61" s="116" t="n">
        <v>47</v>
      </c>
      <c r="B61" s="116" t="inlineStr">
        <is>
          <t>전체</t>
        </is>
      </c>
      <c r="C61" s="116" t="inlineStr">
        <is>
          <t>욕실 설치비</t>
        </is>
      </c>
      <c r="D61" s="143">
        <f>IFERROR(INDEX(자재마스터!$J:$J,MATCH("bath_install|"&amp;우리집!$B$67,자재마스터!$Z:$Z,0)),"-")</f>
        <v/>
      </c>
      <c r="E61" s="145">
        <f>우리집!$B$11+우리집!$B$12</f>
        <v/>
      </c>
      <c r="F61" s="116">
        <f>우리집!$B$67</f>
        <v/>
      </c>
      <c r="G61" s="143">
        <f>IFERROR((INDEX(자재마스터!$F:$F, MATCH("bath_install|"&amp;우리집!$B$67,자재마스터!$Z:$Z,0)) &amp; " " &amp; INDEX(자재마스터!$G:$G, MATCH("bath_install|"&amp;우리집!$B$67,자재마스터!$Z:$Z,0))),"매칭없음")</f>
        <v/>
      </c>
      <c r="H61" s="154">
        <f>IFERROR(INDEX(자재마스터!$M:$M,MATCH("bath_install|"&amp;우리집!$B$67,자재마스터!$Z:$Z,0)),0)</f>
        <v/>
      </c>
      <c r="I61" s="154">
        <f>IFERROR(E61*H61*IF(COUNTIF(욕실설정!$D$4:$E$14,"Y")&gt;0,1,0),0)</f>
        <v/>
      </c>
      <c r="P61" s="129">
        <f>IFERROR(INDEX(자재마스터!$D:$D,MATCH("bath_install|"&amp;우리집!$B$67,자재마스터!$Z:$Z,0)),"")</f>
        <v/>
      </c>
    </row>
    <row r="62" ht="15" customHeight="1" s="95">
      <c r="A62" s="116" t="n">
        <v>48</v>
      </c>
      <c r="B62" s="116" t="inlineStr">
        <is>
          <t>전체</t>
        </is>
      </c>
      <c r="C62" s="116" t="inlineStr">
        <is>
          <t>타일 시공팀 (1팀×일)</t>
        </is>
      </c>
      <c r="D62" s="143">
        <f>IFERROR(INDEX(자재마스터!$J:$J,MATCH("tile_labor|"&amp;우리집!$B$67,자재마스터!$Z:$Z,0)),"-")</f>
        <v/>
      </c>
      <c r="E62" s="144">
        <f>(IF(우리집!$B$8&lt;30,2,IF(우리집!$B$8&lt;50,3,4)))+IF(우리집!$B$67="가성비",0,1)</f>
        <v/>
      </c>
      <c r="F62" s="116">
        <f>우리집!$B$67</f>
        <v/>
      </c>
      <c r="G62" s="143">
        <f>IFERROR((INDEX(자재마스터!$F:$F, MATCH("tile_labor|"&amp;우리집!$B$67,자재마스터!$Z:$Z,0)) &amp; " " &amp; INDEX(자재마스터!$G:$G, MATCH("tile_labor|"&amp;우리집!$B$67,자재마스터!$Z:$Z,0))),"매칭없음")</f>
        <v/>
      </c>
      <c r="H62" s="154">
        <f>IFERROR(INDEX(자재마스터!$M:$M,MATCH("tile_labor|"&amp;우리집!$B$67,자재마스터!$Z:$Z,0)),0)</f>
        <v/>
      </c>
      <c r="I62" s="154">
        <f>IFERROR(E62*H62*IF(COUNTIF(욕실설정!$D$4:$E$14,"Y")&gt;0,1,0),0)</f>
        <v/>
      </c>
      <c r="P62" s="129">
        <f>IFERROR(INDEX(자재마스터!$D:$D,MATCH("tile_labor|"&amp;우리집!$B$67,자재마스터!$Z:$Z,0)),"")</f>
        <v/>
      </c>
    </row>
    <row r="63" ht="15" customHeight="1" s="95">
      <c r="A63" s="155" t="n"/>
      <c r="B63" s="156" t="n"/>
      <c r="C63" s="120" t="inlineStr">
        <is>
          <t>━ 욕실 소계</t>
        </is>
      </c>
      <c r="D63" s="155" t="n"/>
      <c r="E63" s="157" t="n"/>
      <c r="F63" s="155" t="n"/>
      <c r="G63" s="156" t="n"/>
      <c r="H63" s="158" t="n"/>
      <c r="I63" s="159">
        <f>SUM(I39:I62)</f>
        <v/>
      </c>
    </row>
    <row r="64" ht="15" customHeight="1" s="95">
      <c r="A64" s="114" t="n">
        <v>49</v>
      </c>
      <c r="B64" s="114" t="inlineStr">
        <is>
          <t>주방</t>
        </is>
      </c>
      <c r="C64" s="114" t="inlineStr">
        <is>
          <t>주방가구 세트 (몸체+도어)</t>
        </is>
      </c>
      <c r="D64" s="111">
        <f>IFERROR(INDEX(자재마스터!$J:$J,MATCH("kitchen_furniture|"&amp;IF(주방설정!$B$10="기본",우리집!$B$69,주방설정!$B$10),자재마스터!$Z:$Z,0)),"-")</f>
        <v/>
      </c>
      <c r="E64" s="160">
        <f>우리집!$B$118</f>
        <v/>
      </c>
      <c r="F64" s="111">
        <f>IF(주방설정!$B$10="기본",우리집!$B$69,주방설정!$B$10)</f>
        <v/>
      </c>
      <c r="G64" s="111">
        <f>IFERROR((INDEX(자재마스터!$F:$F, MATCH("kitchen_furniture|"&amp;IF(주방설정!$B$10="기본",우리집!$B$69,주방설정!$B$10),자재마스터!$Z:$Z,0)) &amp; " " &amp; INDEX(자재마스터!$G:$G, MATCH("kitchen_furniture|"&amp;IF(주방설정!$B$10="기본",우리집!$B$69,주방설정!$B$10),자재마스터!$Z:$Z,0))),"매칭없음")</f>
        <v/>
      </c>
      <c r="H64" s="161">
        <f>IFERROR(INDEX(자재마스터!$M:$M,MATCH("kitchen_furniture|"&amp;IF(주방설정!$B$10="기본",우리집!$B$69,주방설정!$B$10),자재마스터!$Z:$Z,0)),0)</f>
        <v/>
      </c>
      <c r="I64" s="162">
        <f>IFERROR(E64*H64*IF(주방설정!$C$10="Y",1,0),0)</f>
        <v/>
      </c>
      <c r="P64" s="129">
        <f>IFERROR(INDEX(자재마스터!$D:$D,MATCH("kitchen_furniture|"&amp;IF(주방설정!$B$10="기본",우리집!$B$69,주방설정!$B$10),자재마스터!$Z:$Z,0)),"")</f>
        <v/>
      </c>
    </row>
    <row r="65" ht="15" customHeight="1" s="95">
      <c r="A65" s="116" t="n">
        <v>50</v>
      </c>
      <c r="B65" s="116" t="inlineStr">
        <is>
          <t>주방</t>
        </is>
      </c>
      <c r="C65" s="116" t="inlineStr">
        <is>
          <t>미드웨이</t>
        </is>
      </c>
      <c r="D65" s="143">
        <f>IFERROR(INDEX(자재마스터!$J:$J,MATCH("kitchen_midway|"&amp;IF(주방설정!$B$4="기본",우리집!$B$69,주방설정!$B$4),자재마스터!$Z:$Z,0)),"-")</f>
        <v/>
      </c>
      <c r="E65" s="145">
        <f>우리집!$B$118</f>
        <v/>
      </c>
      <c r="F65" s="143">
        <f>IF(주방설정!$B$4="기본",우리집!$B$69,주방설정!$B$4)</f>
        <v/>
      </c>
      <c r="G65" s="143">
        <f>IFERROR((INDEX(자재마스터!$F:$F, MATCH("kitchen_midway|"&amp;IF(주방설정!$B$4="기본",우리집!$B$69,주방설정!$B$4),자재마스터!$Z:$Z,0)) &amp; " " &amp; INDEX(자재마스터!$G:$G, MATCH("kitchen_midway|"&amp;IF(주방설정!$B$4="기본",우리집!$B$69,주방설정!$B$4),자재마스터!$Z:$Z,0))),"매칭없음")</f>
        <v/>
      </c>
      <c r="H65" s="154">
        <f>IFERROR(INDEX(자재마스터!$M:$M,MATCH("kitchen_midway|"&amp;IF(주방설정!$B$4="기본",우리집!$B$69,주방설정!$B$4),자재마스터!$Z:$Z,0)),0)</f>
        <v/>
      </c>
      <c r="I65" s="154">
        <f>IFERROR(E65*H65*IF(주방설정!$C$4="Y",1,0),0)</f>
        <v/>
      </c>
      <c r="P65" s="129">
        <f>IFERROR(INDEX(자재마스터!$D:$D,MATCH("kitchen_midway|"&amp;IF(주방설정!$B$4="기본",우리집!$B$69,주방설정!$B$4),자재마스터!$Z:$Z,0)),"")</f>
        <v/>
      </c>
    </row>
    <row r="66" ht="15" customHeight="1" s="95">
      <c r="A66" s="116" t="n">
        <v>51</v>
      </c>
      <c r="B66" s="116" t="inlineStr">
        <is>
          <t>주방</t>
        </is>
      </c>
      <c r="C66" s="143" t="inlineStr">
        <is>
          <t>(미사용) 도어 — 세트 통합</t>
        </is>
      </c>
      <c r="D66" s="143">
        <f>IFERROR(INDEX(자재마스터!$J:$J,MATCH("kitchen_door|"&amp;IF(주방설정!$B$5="기본",우리집!$B$69,주방설정!$B$5),자재마스터!$Z:$Z,0)),"-")</f>
        <v/>
      </c>
      <c r="E66" s="145" t="n">
        <v>0</v>
      </c>
      <c r="F66" s="143">
        <f>IF(주방설정!$B$5="기본",우리집!$B$69,주방설정!$B$5)</f>
        <v/>
      </c>
      <c r="G66" s="143">
        <f>IFERROR((INDEX(자재마스터!$F:$F, MATCH("kitchen_door|"&amp;IF(주방설정!$B$5="기본",우리집!$B$69,주방설정!$B$5),자재마스터!$Z:$Z,0)) &amp; " " &amp; INDEX(자재마스터!$G:$G, MATCH("kitchen_door|"&amp;IF(주방설정!$B$5="기본",우리집!$B$69,주방설정!$B$5),자재마스터!$Z:$Z,0))),"매칭없음")</f>
        <v/>
      </c>
      <c r="H66" s="154">
        <f>IFERROR(INDEX(자재마스터!$M:$M,MATCH("kitchen_door|"&amp;IF(주방설정!$B$5="기본",우리집!$B$69,주방설정!$B$5),자재마스터!$Z:$Z,0)),0)</f>
        <v/>
      </c>
      <c r="I66" s="165">
        <f>IFERROR(E66*H66*0,0)</f>
        <v/>
      </c>
      <c r="P66" s="129">
        <f>IFERROR(INDEX(자재마스터!$D:$D,MATCH("kitchen_door|"&amp;IF(주방설정!$B$5="기본",우리집!$B$69,주방설정!$B$5),자재마스터!$Z:$Z,0)),"")</f>
        <v/>
      </c>
    </row>
    <row r="67" ht="15" customHeight="1" s="95">
      <c r="A67" s="116" t="n">
        <v>52</v>
      </c>
      <c r="B67" s="116" t="inlineStr">
        <is>
          <t>주방</t>
        </is>
      </c>
      <c r="C67" s="116" t="inlineStr">
        <is>
          <t>상판</t>
        </is>
      </c>
      <c r="D67" s="143">
        <f>IFERROR(INDEX(자재마스터!$J:$J,MATCH("kitchen_top|"&amp;IF(주방설정!$B$6="기본",우리집!$B$69,주방설정!$B$6),자재마스터!$Z:$Z,0)),"-")</f>
        <v/>
      </c>
      <c r="E67" s="145">
        <f>우리집!$B$118</f>
        <v/>
      </c>
      <c r="F67" s="143">
        <f>IF(주방설정!$B$6="기본",우리집!$B$69,주방설정!$B$6)</f>
        <v/>
      </c>
      <c r="G67" s="143">
        <f>IFERROR((INDEX(자재마스터!$F:$F, MATCH("kitchen_top|"&amp;IF(주방설정!$B$6="기본",우리집!$B$69,주방설정!$B$6),자재마스터!$Z:$Z,0)) &amp; " " &amp; INDEX(자재마스터!$G:$G, MATCH("kitchen_top|"&amp;IF(주방설정!$B$6="기본",우리집!$B$69,주방설정!$B$6),자재마스터!$Z:$Z,0))),"매칭없음")</f>
        <v/>
      </c>
      <c r="H67" s="154">
        <f>IFERROR(INDEX(자재마스터!$M:$M,MATCH("kitchen_top|"&amp;IF(주방설정!$B$6="기본",우리집!$B$69,주방설정!$B$6),자재마스터!$Z:$Z,0)),0)</f>
        <v/>
      </c>
      <c r="I67" s="154">
        <f>IFERROR(E67*H67*IF(주방설정!$C$6="Y",1,0),0)</f>
        <v/>
      </c>
      <c r="P67" s="129">
        <f>IFERROR(INDEX(자재마스터!$D:$D,MATCH("kitchen_top|"&amp;IF(주방설정!$B$6="기본",우리집!$B$69,주방설정!$B$6),자재마스터!$Z:$Z,0)),"")</f>
        <v/>
      </c>
    </row>
    <row r="68" ht="15" customHeight="1" s="95">
      <c r="A68" s="116" t="n">
        <v>53</v>
      </c>
      <c r="B68" s="116" t="inlineStr">
        <is>
          <t>주방</t>
        </is>
      </c>
      <c r="C68" s="116" t="inlineStr">
        <is>
          <t>하드웨어</t>
        </is>
      </c>
      <c r="D68" s="143">
        <f>IFERROR(INDEX(자재마스터!$J:$J,MATCH("kitchen_hardware|"&amp;IF(주방설정!$B$7="기본",우리집!$B$69,주방설정!$B$7),자재마스터!$Z:$Z,0)),"-")</f>
        <v/>
      </c>
      <c r="E68" s="145">
        <f>ROUND(우리집!$B$118*4.5,0)</f>
        <v/>
      </c>
      <c r="F68" s="143">
        <f>IF(주방설정!$B$7="기본",우리집!$B$69,주방설정!$B$7)</f>
        <v/>
      </c>
      <c r="G68" s="143">
        <f>IFERROR((INDEX(자재마스터!$F:$F, MATCH("kitchen_hardware|"&amp;IF(주방설정!$B$7="기본",우리집!$B$69,주방설정!$B$7),자재마스터!$Z:$Z,0)) &amp; " " &amp; INDEX(자재마스터!$G:$G, MATCH("kitchen_hardware|"&amp;IF(주방설정!$B$7="기본",우리집!$B$69,주방설정!$B$7),자재마스터!$Z:$Z,0))),"매칭없음")</f>
        <v/>
      </c>
      <c r="H68" s="154">
        <f>IFERROR(INDEX(자재마스터!$M:$M,MATCH("kitchen_hardware|"&amp;IF(주방설정!$B$7="기본",우리집!$B$69,주방설정!$B$7),자재마스터!$Z:$Z,0)),0)</f>
        <v/>
      </c>
      <c r="I68" s="154">
        <f>IFERROR(E68*H68*IF(주방설정!$C$7="Y",1,0),0)</f>
        <v/>
      </c>
      <c r="P68" s="129">
        <f>IFERROR(INDEX(자재마스터!$D:$D,MATCH("kitchen_hardware|"&amp;IF(주방설정!$B$7="기본",우리집!$B$69,주방설정!$B$7),자재마스터!$Z:$Z,0)),"")</f>
        <v/>
      </c>
    </row>
    <row r="69" ht="15" customHeight="1" s="95">
      <c r="A69" s="116" t="n">
        <v>54</v>
      </c>
      <c r="B69" s="116" t="inlineStr">
        <is>
          <t>주방</t>
        </is>
      </c>
      <c r="C69" s="116" t="inlineStr">
        <is>
          <t>후드</t>
        </is>
      </c>
      <c r="D69" s="143">
        <f>IFERROR(INDEX(자재마스터!$J:$J,MATCH("kitchen_hood|"&amp;IF(주방설정!$B$8="기본",우리집!$B$69,주방설정!$B$8),자재마스터!$Z:$Z,0)),"-")</f>
        <v/>
      </c>
      <c r="E69" s="145">
        <f>1</f>
        <v/>
      </c>
      <c r="F69" s="143">
        <f>IF(주방설정!$B$8="기본",우리집!$B$69,주방설정!$B$8)</f>
        <v/>
      </c>
      <c r="G69" s="143">
        <f>IFERROR((INDEX(자재마스터!$F:$F, MATCH("kitchen_hood|"&amp;IF(주방설정!$B$8="기본",우리집!$B$69,주방설정!$B$8),자재마스터!$Z:$Z,0)) &amp; " " &amp; INDEX(자재마스터!$G:$G, MATCH("kitchen_hood|"&amp;IF(주방설정!$B$8="기본",우리집!$B$69,주방설정!$B$8),자재마스터!$Z:$Z,0))),"매칭없음")</f>
        <v/>
      </c>
      <c r="H69" s="154">
        <f>IFERROR(INDEX(자재마스터!$M:$M,MATCH("kitchen_hood|"&amp;IF(주방설정!$B$8="기본",우리집!$B$69,주방설정!$B$8),자재마스터!$Z:$Z,0)),0)</f>
        <v/>
      </c>
      <c r="I69" s="154">
        <f>IFERROR(E69*H69*IF(주방설정!$C$8="Y",1,0),0)</f>
        <v/>
      </c>
      <c r="P69" s="129">
        <f>IFERROR(INDEX(자재마스터!$D:$D,MATCH("kitchen_hood|"&amp;IF(주방설정!$B$8="기본",우리집!$B$69,주방설정!$B$8),자재마스터!$Z:$Z,0)),"")</f>
        <v/>
      </c>
    </row>
    <row r="70" ht="15" customHeight="1" s="95">
      <c r="A70" s="116" t="n">
        <v>55</v>
      </c>
      <c r="B70" s="116" t="inlineStr">
        <is>
          <t>주방</t>
        </is>
      </c>
      <c r="C70" s="116" t="inlineStr">
        <is>
          <t>싱크볼</t>
        </is>
      </c>
      <c r="D70" s="143">
        <f>IFERROR(INDEX(자재마스터!$J:$J,MATCH("kitchen_sink|"&amp;IF(주방설정!$B$9="기본",우리집!$B$69,주방설정!$B$9),자재마스터!$Z:$Z,0)),"-")</f>
        <v/>
      </c>
      <c r="E70" s="145">
        <f>1</f>
        <v/>
      </c>
      <c r="F70" s="143">
        <f>IF(주방설정!$B$9="기본",우리집!$B$69,주방설정!$B$9)</f>
        <v/>
      </c>
      <c r="G70" s="143">
        <f>IFERROR((INDEX(자재마스터!$F:$F, MATCH("kitchen_sink|"&amp;IF(주방설정!$B$9="기본",우리집!$B$69,주방설정!$B$9),자재마스터!$Z:$Z,0)) &amp; " " &amp; INDEX(자재마스터!$G:$G, MATCH("kitchen_sink|"&amp;IF(주방설정!$B$9="기본",우리집!$B$69,주방설정!$B$9),자재마스터!$Z:$Z,0))),"매칭없음")</f>
        <v/>
      </c>
      <c r="H70" s="154">
        <f>IFERROR(INDEX(자재마스터!$M:$M,MATCH("kitchen_sink|"&amp;IF(주방설정!$B$9="기본",우리집!$B$69,주방설정!$B$9),자재마스터!$Z:$Z,0)),0)</f>
        <v/>
      </c>
      <c r="I70" s="154">
        <f>IFERROR(E70*H70*IF(주방설정!$C$9="Y",1,0),0)</f>
        <v/>
      </c>
      <c r="P70" s="129">
        <f>IFERROR(INDEX(자재마스터!$D:$D,MATCH("kitchen_sink|"&amp;IF(주방설정!$B$9="기본",우리집!$B$69,주방설정!$B$9),자재마스터!$Z:$Z,0)),"")</f>
        <v/>
      </c>
    </row>
    <row r="71" ht="15" customHeight="1" s="95">
      <c r="A71" s="155" t="n"/>
      <c r="B71" s="156" t="n"/>
      <c r="C71" s="120" t="inlineStr">
        <is>
          <t>━ 주방가구 소계</t>
        </is>
      </c>
      <c r="D71" s="155" t="n"/>
      <c r="E71" s="157" t="n"/>
      <c r="F71" s="155" t="n"/>
      <c r="G71" s="156" t="n"/>
      <c r="H71" s="158" t="n"/>
      <c r="I71" s="159">
        <f>SUM(I64:I70)</f>
        <v/>
      </c>
    </row>
    <row r="72" ht="15" customHeight="1" s="95">
      <c r="A72" s="114" t="n">
        <v>56</v>
      </c>
      <c r="B72" s="114" t="inlineStr">
        <is>
          <t>거실</t>
        </is>
      </c>
      <c r="C72" s="114" t="inlineStr">
        <is>
          <t>중문</t>
        </is>
      </c>
      <c r="D72" s="111">
        <f>IFERROR(INDEX(자재마스터!$J:$J,MATCH("sliding_door|"&amp;우리집!$B$70,자재마스터!$Z:$Z,0)),"-")</f>
        <v/>
      </c>
      <c r="E72" s="160">
        <f>1</f>
        <v/>
      </c>
      <c r="F72" s="114">
        <f>우리집!$B$70</f>
        <v/>
      </c>
      <c r="G72" s="111">
        <f>IFERROR((INDEX(자재마스터!$F:$F, MATCH("sliding_door|"&amp;우리집!$B$70,자재마스터!$Z:$Z,0)) &amp; " " &amp; INDEX(자재마스터!$G:$G, MATCH("sliding_door|"&amp;우리집!$B$70,자재마스터!$Z:$Z,0))),"매칭없음")</f>
        <v/>
      </c>
      <c r="H72" s="161">
        <f>IFERROR(INDEX(자재마스터!$M:$M,MATCH("sliding_door|"&amp;우리집!$B$70,자재마스터!$Z:$Z,0)),0)</f>
        <v/>
      </c>
      <c r="I72" s="162">
        <f>IFERROR(E72*H72*IF(공사범위!$B$16="Y",1,0),0)</f>
        <v/>
      </c>
      <c r="P72" s="129">
        <f>IFERROR(INDEX(자재마스터!$D:$D,MATCH("sliding_door|"&amp;우리집!$B$70,자재마스터!$Z:$Z,0)),"")</f>
        <v/>
      </c>
    </row>
    <row r="73" ht="15" customHeight="1" s="95">
      <c r="A73" s="116" t="n">
        <v>57</v>
      </c>
      <c r="B73" s="116" t="inlineStr">
        <is>
          <t>현관</t>
        </is>
      </c>
      <c r="C73" s="116" t="inlineStr">
        <is>
          <t>일반가구</t>
        </is>
      </c>
      <c r="D73" s="143">
        <f>IFERROR(INDEX(자재마스터!$J:$J,MATCH("general_furniture|"&amp;우리집!$B$71,자재마스터!$Z:$Z,0)),"-")</f>
        <v/>
      </c>
      <c r="E73" s="145">
        <f>1</f>
        <v/>
      </c>
      <c r="F73" s="116">
        <f>우리집!$B$71</f>
        <v/>
      </c>
      <c r="G73" s="143">
        <f>IFERROR((INDEX(자재마스터!$F:$F, MATCH("general_furniture|"&amp;우리집!$B$71,자재마스터!$Z:$Z,0)) &amp; " " &amp; INDEX(자재마스터!$G:$G, MATCH("general_furniture|"&amp;우리집!$B$71,자재마스터!$Z:$Z,0))),"매칭없음")</f>
        <v/>
      </c>
      <c r="H73" s="154">
        <f>IFERROR(INDEX(자재마스터!$M:$M,MATCH("general_furniture|"&amp;우리집!$B$71,자재마스터!$Z:$Z,0)),0)</f>
        <v/>
      </c>
      <c r="I73" s="154">
        <f>IFERROR(E73*H73*IF(공사범위!$B$17="Y",1,0),0)</f>
        <v/>
      </c>
      <c r="P73" s="129">
        <f>IFERROR(INDEX(자재마스터!$D:$D,MATCH("general_furniture|"&amp;우리집!$B$71,자재마스터!$Z:$Z,0)),"")</f>
        <v/>
      </c>
    </row>
    <row r="74" ht="15" customHeight="1" s="95">
      <c r="A74" s="116" t="n">
        <v>58</v>
      </c>
      <c r="B74" s="116" t="inlineStr">
        <is>
          <t>안방</t>
        </is>
      </c>
      <c r="C74" s="116" t="inlineStr">
        <is>
          <t>붙박이장</t>
        </is>
      </c>
      <c r="D74" s="143">
        <f>IFERROR(INDEX(자재마스터!$J:$J,MATCH("closet|"&amp;우리집!$B$75,자재마스터!$Z:$Z,0)),"-")</f>
        <v/>
      </c>
      <c r="E74" s="145">
        <f>IF(우리집!B8&gt;=30,2.4,2)</f>
        <v/>
      </c>
      <c r="F74" s="116">
        <f>우리집!$B$75</f>
        <v/>
      </c>
      <c r="G74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4" s="154">
        <f>IFERROR(INDEX(자재마스터!$M:$M,MATCH("closet|"&amp;우리집!$B$75,자재마스터!$Z:$Z,0)),0)</f>
        <v/>
      </c>
      <c r="I74" s="154">
        <f>IFERROR(E74*H74*IF(공사범위!$F$5="Y",1,0),0)</f>
        <v/>
      </c>
      <c r="P74" s="129">
        <f>IFERROR(INDEX(자재마스터!$D:$D,MATCH("closet|"&amp;우리집!$B$75,자재마스터!$Z:$Z,0)),"")</f>
        <v/>
      </c>
    </row>
    <row r="75" ht="15" customHeight="1" s="95">
      <c r="A75" s="116" t="n">
        <v>59</v>
      </c>
      <c r="B75" s="116" t="inlineStr">
        <is>
          <t>작은방1</t>
        </is>
      </c>
      <c r="C75" s="116" t="inlineStr">
        <is>
          <t>붙박이장</t>
        </is>
      </c>
      <c r="D75" s="143">
        <f>IFERROR(INDEX(자재마스터!$J:$J,MATCH("closet|"&amp;우리집!$B$75,자재마스터!$Z:$Z,0)),"-")</f>
        <v/>
      </c>
      <c r="E75" s="144">
        <f>IF(우리집!B8&gt;=40,2.4,IF(우리집!B8&gt;=30,2,1.8))</f>
        <v/>
      </c>
      <c r="F75" s="116">
        <f>우리집!$B$75</f>
        <v/>
      </c>
      <c r="G75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5" s="154">
        <f>IFERROR(INDEX(자재마스터!$M:$M,MATCH("closet|"&amp;우리집!$B$75,자재마스터!$Z:$Z,0)),0)</f>
        <v/>
      </c>
      <c r="I75" s="154">
        <f>IFERROR(E75*H75*IF(공사범위!$F$6="Y",1,0),0)</f>
        <v/>
      </c>
      <c r="P75" s="129">
        <f>IFERROR(INDEX(자재마스터!$D:$D,MATCH("closet|"&amp;우리집!$B$75,자재마스터!$Z:$Z,0)),"")</f>
        <v/>
      </c>
    </row>
    <row r="76" ht="15" customHeight="1" s="95">
      <c r="A76" s="116" t="n">
        <v>60</v>
      </c>
      <c r="B76" s="116" t="inlineStr">
        <is>
          <t>작은방2</t>
        </is>
      </c>
      <c r="C76" s="116" t="inlineStr">
        <is>
          <t>붙박이장</t>
        </is>
      </c>
      <c r="D76" s="143">
        <f>IFERROR(INDEX(자재마스터!$J:$J,MATCH("closet|"&amp;우리집!$B$75,자재마스터!$Z:$Z,0)),"-")</f>
        <v/>
      </c>
      <c r="E76" s="144">
        <f>IF(우리집!B8&gt;=40,2.4,IF(우리집!B8&gt;=30,2,1.8))</f>
        <v/>
      </c>
      <c r="F76" s="116">
        <f>우리집!$B$75</f>
        <v/>
      </c>
      <c r="G76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6" s="154">
        <f>IFERROR(INDEX(자재마스터!$M:$M,MATCH("closet|"&amp;우리집!$B$75,자재마스터!$Z:$Z,0)),0)</f>
        <v/>
      </c>
      <c r="I76" s="154">
        <f>IFERROR(E76*H76*IF(공사범위!$F$7="Y",1,0),0)</f>
        <v/>
      </c>
      <c r="P76" s="129">
        <f>IFERROR(INDEX(자재마스터!$D:$D,MATCH("closet|"&amp;우리집!$B$75,자재마스터!$Z:$Z,0)),"")</f>
        <v/>
      </c>
    </row>
    <row r="77" ht="15.65" customHeight="1" s="95">
      <c r="A77" s="155" t="n"/>
      <c r="B77" s="156" t="n"/>
      <c r="C77" s="120" t="inlineStr">
        <is>
          <t>━ 가구·도어 소계</t>
        </is>
      </c>
      <c r="D77" s="155" t="n"/>
      <c r="E77" s="157" t="n"/>
      <c r="F77" s="155" t="n"/>
      <c r="G77" s="156" t="n"/>
      <c r="H77" s="158" t="n"/>
      <c r="I77" s="159">
        <f>SUM(I72:I76,I130:I131)</f>
        <v/>
      </c>
    </row>
    <row r="78" ht="15" customHeight="1" s="95">
      <c r="A78" s="114" t="n">
        <v>61</v>
      </c>
      <c r="B78" s="114" t="inlineStr">
        <is>
          <t>전체</t>
        </is>
      </c>
      <c r="C78" s="114" t="inlineStr">
        <is>
          <t>전기 기본공사</t>
        </is>
      </c>
      <c r="D78" s="111">
        <f>IFERROR(INDEX(자재마스터!$J:$J,MATCH("electrical_base|"&amp;우리집!$B$78,자재마스터!$Z:$Z,0)),"-")</f>
        <v/>
      </c>
      <c r="E78" s="160">
        <f>우리집!$B$14</f>
        <v/>
      </c>
      <c r="F78" s="114">
        <f>우리집!$B$78</f>
        <v/>
      </c>
      <c r="G78" s="111">
        <f>IFERROR((INDEX(자재마스터!$F:$F, MATCH("electrical_base|"&amp;우리집!$B$78,자재마스터!$Z:$Z,0)) &amp; " " &amp; INDEX(자재마스터!$G:$G, MATCH("electrical_base|"&amp;우리집!$B$78,자재마스터!$Z:$Z,0))),"매칭없음")</f>
        <v/>
      </c>
      <c r="H78" s="161">
        <f>IFERROR(INDEX(자재마스터!$M:$M,MATCH("electrical_base|"&amp;우리집!$B$78,자재마스터!$Z:$Z,0)),0)</f>
        <v/>
      </c>
      <c r="I78" s="159">
        <f>IFERROR(E78*H78,0)</f>
        <v/>
      </c>
      <c r="P78" s="129">
        <f>IFERROR(INDEX(자재마스터!$D:$D,MATCH("electrical_base|"&amp;우리집!$B$78,자재마스터!$Z:$Z,0)),"")</f>
        <v/>
      </c>
    </row>
    <row r="79" ht="15" customHeight="1" s="95">
      <c r="A79" s="116" t="n">
        <v>62</v>
      </c>
      <c r="B79" s="116" t="inlineStr">
        <is>
          <t>전체</t>
        </is>
      </c>
      <c r="C79" s="116" t="inlineStr">
        <is>
          <t>스위치/콘센트</t>
        </is>
      </c>
      <c r="D79" s="143">
        <f>IFERROR(INDEX(자재마스터!$J:$J,MATCH("electrical_switch|"&amp;우리집!$B$78,자재마스터!$Z:$Z,0)),"-")</f>
        <v/>
      </c>
      <c r="E79" s="144">
        <f>IF(우리집!$B$8&lt;15,18,IF(우리집!$B$8&lt;25,24,IF(우리집!$B$8&lt;35,34,IF(우리집!$B$8&lt;45,42,IF(우리집!$B$8&lt;55,50,56)))))</f>
        <v/>
      </c>
      <c r="F79" s="116">
        <f>우리집!$B$78</f>
        <v/>
      </c>
      <c r="G79" s="143">
        <f>IFERROR((INDEX(자재마스터!$F:$F, MATCH("electrical_switch|"&amp;우리집!$B$78,자재마스터!$Z:$Z,0)) &amp; " " &amp; INDEX(자재마스터!$G:$G, MATCH("electrical_switch|"&amp;우리집!$B$78,자재마스터!$Z:$Z,0))),"매칭없음")</f>
        <v/>
      </c>
      <c r="H79" s="154">
        <f>IFERROR(INDEX(자재마스터!$M:$M,MATCH("electrical_switch|"&amp;우리집!$B$78,자재마스터!$Z:$Z,0)),0)</f>
        <v/>
      </c>
      <c r="I79" s="154">
        <f>IFERROR(E79*H79*IF(공사범위!$B$23="Y",1,0),0)</f>
        <v/>
      </c>
      <c r="P79" s="129">
        <f>IFERROR(INDEX(자재마스터!$D:$D,MATCH("electrical_switch|"&amp;우리집!$B$78,자재마스터!$Z:$Z,0)),"")</f>
        <v/>
      </c>
    </row>
    <row r="80" ht="15" customHeight="1" s="95">
      <c r="A80" s="116" t="n">
        <v>63</v>
      </c>
      <c r="B80" s="116" t="inlineStr">
        <is>
          <t>주방</t>
        </is>
      </c>
      <c r="C80" s="116" t="inlineStr">
        <is>
          <t>인덕션 전용선</t>
        </is>
      </c>
      <c r="D80" s="143">
        <f>IFERROR(INDEX(자재마스터!$J:$J,MATCH("induction_line|"&amp;우리집!$B$78,자재마스터!$Z:$Z,0)),"-")</f>
        <v/>
      </c>
      <c r="E80" s="145">
        <f>1</f>
        <v/>
      </c>
      <c r="F80" s="116">
        <f>우리집!$B$78</f>
        <v/>
      </c>
      <c r="G80" s="143">
        <f>IFERROR((INDEX(자재마스터!$F:$F, MATCH("induction_line|"&amp;우리집!$B$78,자재마스터!$Z:$Z,0)) &amp; " " &amp; INDEX(자재마스터!$G:$G, MATCH("induction_line|"&amp;우리집!$B$78,자재마스터!$Z:$Z,0))),"매칭없음")</f>
        <v/>
      </c>
      <c r="H80" s="154">
        <f>IFERROR(INDEX(자재마스터!$M:$M,MATCH("induction_line|"&amp;우리집!$B$78,자재마스터!$Z:$Z,0)),0)</f>
        <v/>
      </c>
      <c r="I80" s="154">
        <f>IFERROR(E80*H80*IF(공사범위!$B$24="Y",1,0),0)</f>
        <v/>
      </c>
      <c r="P80" s="129">
        <f>IFERROR(INDEX(자재마스터!$D:$D,MATCH("induction_line|"&amp;우리집!$B$78,자재마스터!$Z:$Z,0)),"")</f>
        <v/>
      </c>
    </row>
    <row r="81" ht="15" customHeight="1" s="95">
      <c r="A81" s="116" t="n">
        <v>64</v>
      </c>
      <c r="B81" s="116" t="inlineStr">
        <is>
          <t>전체</t>
        </is>
      </c>
      <c r="C81" s="116" t="inlineStr">
        <is>
          <t>다운라이트</t>
        </is>
      </c>
      <c r="D81" s="143">
        <f>IFERROR(INDEX(자재마스터!$J:$J,MATCH("lighting_downlight|"&amp;우리집!$B$72,자재마스터!$Z:$Z,0)),"-")</f>
        <v/>
      </c>
      <c r="E81" s="144">
        <f>ROUND((INDEX(표준면적!$B$3:$G$10,1,MATCH(표준면적!$J$2,표준면적!$B$2:$G$2,0))+(INDEX(표준면적!$B$3:$G$10,1,(MATCH(표준면적!$J$2,표준면적!$B$2:$G$2,0)+1))-INDEX(표준면적!$B$3:$G$10,1,MATCH(표준면적!$J$2,표준면적!$B$2:$G$2,0)))*표준면적!$J$4),0)+(1+IF(우리집!$B$8&gt;=15,1,0)+IF(우리집!$B$8&gt;=28,1,0))*6+(우리집!$B$11+우리집!$B$12)*4+8</f>
        <v/>
      </c>
      <c r="F81" s="116">
        <f>우리집!$B$72</f>
        <v/>
      </c>
      <c r="G81" s="143">
        <f>IFERROR((INDEX(자재마스터!$F:$F, MATCH("lighting_downlight|"&amp;우리집!$B$72,자재마스터!$Z:$Z,0)) &amp; " " &amp; INDEX(자재마스터!$G:$G, MATCH("lighting_downlight|"&amp;우리집!$B$72,자재마스터!$Z:$Z,0))),"매칭없음")</f>
        <v/>
      </c>
      <c r="H81" s="154">
        <f>IFERROR(INDEX(자재마스터!$M:$M,MATCH("lighting_downlight|"&amp;우리집!$B$72,자재마스터!$Z:$Z,0)),0)</f>
        <v/>
      </c>
      <c r="I81" s="154">
        <f>IFERROR(E81*H81*IF(공사범위!$B$18="Y",1,0),0)</f>
        <v/>
      </c>
      <c r="P81" s="129">
        <f>IFERROR(INDEX(자재마스터!$D:$D,MATCH("lighting_downlight|"&amp;우리집!$B$72,자재마스터!$Z:$Z,0)),"")</f>
        <v/>
      </c>
    </row>
    <row r="82" ht="15" customHeight="1" s="95">
      <c r="A82" s="116" t="n">
        <v>65</v>
      </c>
      <c r="B82" s="116" t="inlineStr">
        <is>
          <t>거실</t>
        </is>
      </c>
      <c r="C82" s="116" t="inlineStr">
        <is>
          <t>거실 간접조명</t>
        </is>
      </c>
      <c r="D82" s="143">
        <f>IFERROR(INDEX(자재마스터!$J:$J,MATCH("lighting_indirect_living|"&amp;우리집!$B$72,자재마스터!$Z:$Z,0)),"-")</f>
        <v/>
      </c>
      <c r="E82" s="145">
        <f>1</f>
        <v/>
      </c>
      <c r="F82" s="116">
        <f>우리집!$B$72</f>
        <v/>
      </c>
      <c r="G82" s="143">
        <f>IFERROR((INDEX(자재마스터!$F:$F, MATCH("lighting_indirect_living|"&amp;우리집!$B$72,자재마스터!$Z:$Z,0)) &amp; " " &amp; INDEX(자재마스터!$G:$G, MATCH("lighting_indirect_living|"&amp;우리집!$B$72,자재마스터!$Z:$Z,0))),"매칭없음")</f>
        <v/>
      </c>
      <c r="H82" s="154">
        <f>IFERROR(INDEX(자재마스터!$M:$M,MATCH("lighting_indirect_living|"&amp;우리집!$B$72,자재마스터!$Z:$Z,0)),0)</f>
        <v/>
      </c>
      <c r="I82" s="154">
        <f>IFERROR(E82*H82*IF(공사범위!$B$18="Y",1,0),0)</f>
        <v/>
      </c>
      <c r="P82" s="129">
        <f>IFERROR(INDEX(자재마스터!$D:$D,MATCH("lighting_indirect_living|"&amp;우리집!$B$72,자재마스터!$Z:$Z,0)),"")</f>
        <v/>
      </c>
    </row>
    <row r="83" ht="15" customHeight="1" s="95">
      <c r="A83" s="116" t="n">
        <v>66</v>
      </c>
      <c r="B83" s="116" t="inlineStr">
        <is>
          <t>욕실</t>
        </is>
      </c>
      <c r="C83" s="116" t="inlineStr">
        <is>
          <t>욕실 간접조명</t>
        </is>
      </c>
      <c r="D83" s="143">
        <f>IFERROR(INDEX(자재마스터!$J:$J,MATCH("lighting_indirect_bath|"&amp;우리집!$B$72,자재마스터!$Z:$Z,0)),"-")</f>
        <v/>
      </c>
      <c r="E83" s="145">
        <f>우리집!$B$11+우리집!$B$12</f>
        <v/>
      </c>
      <c r="F83" s="116">
        <f>우리집!$B$72</f>
        <v/>
      </c>
      <c r="G83" s="143">
        <f>IFERROR((INDEX(자재마스터!$F:$F, MATCH("lighting_indirect_bath|"&amp;우리집!$B$72,자재마스터!$Z:$Z,0)) &amp; " " &amp; INDEX(자재마스터!$G:$G, MATCH("lighting_indirect_bath|"&amp;우리집!$B$72,자재마스터!$Z:$Z,0))),"매칭없음")</f>
        <v/>
      </c>
      <c r="H83" s="154">
        <f>IFERROR(INDEX(자재마스터!$M:$M,MATCH("lighting_indirect_bath|"&amp;우리집!$B$72,자재마스터!$Z:$Z,0)),0)</f>
        <v/>
      </c>
      <c r="I83" s="154">
        <f>IFERROR(E83*H83*IF(공사범위!$B$18="Y",1,0),0)</f>
        <v/>
      </c>
      <c r="P83" s="129">
        <f>IFERROR(INDEX(자재마스터!$D:$D,MATCH("lighting_indirect_bath|"&amp;우리집!$B$72,자재마스터!$Z:$Z,0)),"")</f>
        <v/>
      </c>
    </row>
    <row r="84" ht="15" customHeight="1" s="95">
      <c r="A84" s="114" t="n">
        <v>67</v>
      </c>
      <c r="B84" s="114" t="inlineStr">
        <is>
          <t>거실</t>
        </is>
      </c>
      <c r="C84" s="114" t="inlineStr">
        <is>
          <t>거실 마그네틱 라인</t>
        </is>
      </c>
      <c r="D84" s="111">
        <f>IFERROR(INDEX(자재마스터!$J:$J,MATCH("lighting_magnetic_living|"&amp;우리집!$B$72,자재마스터!$Z:$Z,0)),"-")</f>
        <v/>
      </c>
      <c r="E84" s="160">
        <f>1</f>
        <v/>
      </c>
      <c r="F84" s="114">
        <f>우리집!$B$72</f>
        <v/>
      </c>
      <c r="G84" s="111">
        <f>IFERROR((INDEX(자재마스터!$F:$F, MATCH("lighting_magnetic_living|"&amp;우리집!$B$72,자재마스터!$Z:$Z,0)) &amp; " " &amp; INDEX(자재마스터!$G:$G, MATCH("lighting_magnetic_living|"&amp;우리집!$B$72,자재마스터!$Z:$Z,0))),"매칭없음")</f>
        <v/>
      </c>
      <c r="H84" s="161">
        <f>IFERROR(INDEX(자재마스터!$M:$M,MATCH("lighting_magnetic_living|"&amp;우리집!$B$72,자재마스터!$Z:$Z,0)),0)</f>
        <v/>
      </c>
      <c r="I84" s="162">
        <f>IFERROR(E84*H84*IF(공사범위!$B$18="Y",1,0),0)</f>
        <v/>
      </c>
      <c r="P84" s="129">
        <f>IFERROR(INDEX(자재마스터!$D:$D,MATCH("lighting_magnetic_living|"&amp;우리집!$B$72,자재마스터!$Z:$Z,0)),"")</f>
        <v/>
      </c>
    </row>
    <row r="85" ht="15" customHeight="1" s="95">
      <c r="A85" s="116" t="n">
        <v>68</v>
      </c>
      <c r="B85" s="116" t="inlineStr">
        <is>
          <t>주방</t>
        </is>
      </c>
      <c r="C85" s="116" t="inlineStr">
        <is>
          <t>주방 마그네틱 라인</t>
        </is>
      </c>
      <c r="D85" s="143">
        <f>IFERROR(INDEX(자재마스터!$J:$J,MATCH("lighting_magnetic_kitchen|"&amp;우리집!$B$72,자재마스터!$Z:$Z,0)),"-")</f>
        <v/>
      </c>
      <c r="E85" s="145">
        <f>1</f>
        <v/>
      </c>
      <c r="F85" s="116">
        <f>우리집!$B$72</f>
        <v/>
      </c>
      <c r="G85" s="143">
        <f>IFERROR((INDEX(자재마스터!$F:$F, MATCH("lighting_magnetic_kitchen|"&amp;우리집!$B$72,자재마스터!$Z:$Z,0)) &amp; " " &amp; INDEX(자재마스터!$G:$G, MATCH("lighting_magnetic_kitchen|"&amp;우리집!$B$72,자재마스터!$Z:$Z,0))),"매칭없음")</f>
        <v/>
      </c>
      <c r="H85" s="154">
        <f>IFERROR(INDEX(자재마스터!$M:$M,MATCH("lighting_magnetic_kitchen|"&amp;우리집!$B$72,자재마스터!$Z:$Z,0)),0)</f>
        <v/>
      </c>
      <c r="I85" s="154">
        <f>IFERROR(E85*H85*IF(공사범위!$B$18="Y",1,0),0)</f>
        <v/>
      </c>
      <c r="P85" s="129">
        <f>IFERROR(INDEX(자재마스터!$D:$D,MATCH("lighting_magnetic_kitchen|"&amp;우리집!$B$72,자재마스터!$Z:$Z,0)),"")</f>
        <v/>
      </c>
    </row>
    <row r="86" ht="15" customHeight="1" s="95">
      <c r="A86" s="155" t="n"/>
      <c r="B86" s="156" t="n"/>
      <c r="C86" s="120" t="inlineStr">
        <is>
          <t>━ 전기 소계</t>
        </is>
      </c>
      <c r="D86" s="155" t="n"/>
      <c r="E86" s="157" t="n"/>
      <c r="F86" s="155" t="n"/>
      <c r="G86" s="156" t="n"/>
      <c r="H86" s="158" t="n"/>
      <c r="I86" s="159">
        <f>SUM(I78:I85)</f>
        <v/>
      </c>
    </row>
    <row r="87" ht="15" customHeight="1" s="95">
      <c r="A87" s="116" t="n">
        <v>69</v>
      </c>
      <c r="B87" s="116" t="inlineStr">
        <is>
          <t>전체</t>
        </is>
      </c>
      <c r="C87" s="116" t="inlineStr">
        <is>
          <t>설비 기본공사</t>
        </is>
      </c>
      <c r="D87" s="143">
        <f>IFERROR(INDEX(자재마스터!$J:$J,MATCH("plumbing_base|"&amp;우리집!$B$78,자재마스터!$Z:$Z,0)),"-")</f>
        <v/>
      </c>
      <c r="E87" s="145">
        <f>우리집!$B$14</f>
        <v/>
      </c>
      <c r="F87" s="116">
        <f>우리집!$B$78</f>
        <v/>
      </c>
      <c r="G87" s="143">
        <f>IFERROR((INDEX(자재마스터!$F:$F, MATCH("plumbing_base|"&amp;우리집!$B$78,자재마스터!$Z:$Z,0)) &amp; " " &amp; INDEX(자재마스터!$G:$G, MATCH("plumbing_base|"&amp;우리집!$B$78,자재마스터!$Z:$Z,0))),"매칭없음")</f>
        <v/>
      </c>
      <c r="H87" s="154">
        <f>IFERROR(INDEX(자재마스터!$M:$M,MATCH("plumbing_base|"&amp;우리집!$B$78,자재마스터!$Z:$Z,0)),0)</f>
        <v/>
      </c>
      <c r="I87" s="165">
        <f>IFERROR(E87*H87,0)</f>
        <v/>
      </c>
      <c r="P87" s="129">
        <f>IFERROR(INDEX(자재마스터!$D:$D,MATCH("plumbing_base|"&amp;우리집!$B$78,자재마스터!$Z:$Z,0)),"")</f>
        <v/>
      </c>
    </row>
    <row r="88" ht="15" customHeight="1" s="95">
      <c r="A88" s="116" t="n">
        <v>70</v>
      </c>
      <c r="B88" s="116" t="inlineStr">
        <is>
          <t>전체</t>
        </is>
      </c>
      <c r="C88" s="116" t="inlineStr">
        <is>
          <t>분배기 교체</t>
        </is>
      </c>
      <c r="D88" s="143">
        <f>IFERROR(INDEX(자재마스터!$J:$J,MATCH("distribution_panel|표준",자재마스터!$Z:$Z,0)),"-")</f>
        <v/>
      </c>
      <c r="E88" s="145" t="n">
        <v>1</v>
      </c>
      <c r="F88" s="116" t="inlineStr">
        <is>
          <t>표준</t>
        </is>
      </c>
      <c r="G88" s="143">
        <f>IFERROR((INDEX(자재마스터!$F:$F, MATCH("distribution_panel|표준",자재마스터!$Z:$Z,0)) &amp; " " &amp; INDEX(자재마스터!$G:$G, MATCH("distribution_panel|표준",자재마스터!$Z:$Z,0))),"매칭없음")</f>
        <v/>
      </c>
      <c r="H88" s="154">
        <f>IFERROR(INDEX(자재마스터!$M:$M,MATCH("distribution_panel|표준",자재마스터!$Z:$Z,0)),0)</f>
        <v/>
      </c>
      <c r="I88" s="154">
        <f>IFERROR(E88*H88*IF(공사범위!$B$26="Y",1,0),0)</f>
        <v/>
      </c>
      <c r="P88" s="129">
        <f>IFERROR(INDEX(자재마스터!$D:$D,MATCH("distribution_panel|표준",자재마스터!$Z:$Z,0)),"")</f>
        <v/>
      </c>
    </row>
    <row r="89" ht="15" customHeight="1" s="95">
      <c r="A89" s="114" t="n">
        <v>71</v>
      </c>
      <c r="B89" s="114" t="inlineStr">
        <is>
          <t>전체</t>
        </is>
      </c>
      <c r="C89" s="114" t="inlineStr">
        <is>
          <t>배관 변경</t>
        </is>
      </c>
      <c r="D89" s="111">
        <f>IFERROR(INDEX(자재마스터!$J:$J,MATCH("plumbing_relocation|표준",자재마스터!$Z:$Z,0)),"-")</f>
        <v/>
      </c>
      <c r="E89" s="160" t="n">
        <v>1</v>
      </c>
      <c r="F89" s="114" t="inlineStr">
        <is>
          <t>표준</t>
        </is>
      </c>
      <c r="G89" s="111">
        <f>IFERROR((INDEX(자재마스터!$F:$F, MATCH("plumbing_relocation|표준",자재마스터!$Z:$Z,0)) &amp; " " &amp; INDEX(자재마스터!$G:$G, MATCH("plumbing_relocation|표준",자재마스터!$Z:$Z,0))),"매칭없음")</f>
        <v/>
      </c>
      <c r="H89" s="161">
        <f>IFERROR(INDEX(자재마스터!$M:$M,MATCH("plumbing_relocation|표준",자재마스터!$Z:$Z,0)),0)</f>
        <v/>
      </c>
      <c r="I89" s="162">
        <f>IFERROR(E89*H89*IF(공사범위!$B$27="Y",1,0),0)</f>
        <v/>
      </c>
      <c r="P89" s="129">
        <f>IFERROR(INDEX(자재마스터!$D:$D,MATCH("plumbing_relocation|표준",자재마스터!$Z:$Z,0)),"")</f>
        <v/>
      </c>
    </row>
    <row r="90" ht="15" customHeight="1" s="95">
      <c r="A90" s="118" t="n">
        <v>72</v>
      </c>
      <c r="B90" s="118" t="inlineStr">
        <is>
          <t>전체</t>
        </is>
      </c>
      <c r="C90" s="118" t="inlineStr">
        <is>
          <t>난방온도조절기</t>
        </is>
      </c>
      <c r="D90" s="129">
        <f>IFERROR(INDEX(자재마스터!$J:$J,MATCH("thermostat|"&amp;우리집!$B$63,자재마스터!$Z:$Z,0)),"-")</f>
        <v/>
      </c>
      <c r="E90" s="129">
        <f>IF(우리집!$B$8&lt;20,2,IF(우리집!$B$8&lt;30,3,IF(우리집!$B$8&lt;40,4,5)))</f>
        <v/>
      </c>
      <c r="F90" s="118">
        <f>우리집!$B$63</f>
        <v/>
      </c>
      <c r="G90" s="129">
        <f>IFERROR((INDEX(자재마스터!$F:$F, MATCH("thermostat|"&amp;우리집!$B$63,자재마스터!$Z:$Z,0)) &amp; " " &amp; INDEX(자재마스터!$G:$G, MATCH("thermostat|"&amp;우리집!$B$63,자재마스터!$Z:$Z,0))),"매칭없음")</f>
        <v/>
      </c>
      <c r="H90" s="129">
        <f>IFERROR(INDEX(자재마스터!$M:$M,MATCH("thermostat|"&amp;우리집!$B$63,자재마스터!$Z:$Z,0)),0)</f>
        <v/>
      </c>
      <c r="I90" s="129">
        <f>IFERROR(E90*H90*IF(공사범위!$B$28="Y",1,0),0)</f>
        <v/>
      </c>
      <c r="P90" s="129">
        <f>IFERROR(INDEX(자재마스터!$D:$D,MATCH("thermostat|"&amp;우리집!$B$63,자재마스터!$Z:$Z,0)),"")</f>
        <v/>
      </c>
    </row>
    <row r="91" ht="15" customHeight="1" s="95">
      <c r="A91" s="166" t="n"/>
      <c r="B91" s="167" t="n"/>
      <c r="C91" s="120" t="inlineStr">
        <is>
          <t>━ 설비 소계</t>
        </is>
      </c>
      <c r="D91" s="167" t="n"/>
      <c r="E91" s="167" t="n"/>
      <c r="F91" s="167" t="n"/>
      <c r="G91" s="167" t="n"/>
      <c r="H91" s="167" t="n"/>
      <c r="I91" s="159">
        <f>SUM(I87:I90)</f>
        <v/>
      </c>
    </row>
    <row r="92" ht="15" customHeight="1" s="95">
      <c r="A92" s="114" t="n">
        <v>73</v>
      </c>
      <c r="B92" s="114" t="inlineStr">
        <is>
          <t>거실</t>
        </is>
      </c>
      <c r="C92" s="114" t="inlineStr">
        <is>
          <t>시스템에어컨</t>
        </is>
      </c>
      <c r="D92" s="111">
        <f>IFERROR(INDEX(자재마스터!$J:$J,MATCH("aircon|"&amp;우리집!$B$74,자재마스터!$Z:$Z,0)),"-")</f>
        <v/>
      </c>
      <c r="E92" s="114">
        <f>1</f>
        <v/>
      </c>
      <c r="F92" s="114">
        <f>우리집!$B$74</f>
        <v/>
      </c>
      <c r="G92" s="111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2" s="161">
        <f>IFERROR(INDEX(자재마스터!$M:$M,MATCH("aircon|"&amp;우리집!$B$74,자재마스터!$Z:$Z,0)),0)</f>
        <v/>
      </c>
      <c r="I92" s="162">
        <f>IFERROR(E92*H92*IF(공사범위!$E$3="Y",1,0),0)</f>
        <v/>
      </c>
      <c r="P92" s="129">
        <f>IFERROR(INDEX(자재마스터!$D:$D,MATCH("aircon|"&amp;우리집!$B$74,자재마스터!$Z:$Z,0)),"")</f>
        <v/>
      </c>
    </row>
    <row r="93" ht="15" customHeight="1" s="95">
      <c r="A93" s="118" t="n">
        <v>74</v>
      </c>
      <c r="B93" s="118" t="inlineStr">
        <is>
          <t>안방</t>
        </is>
      </c>
      <c r="C93" s="118" t="inlineStr">
        <is>
          <t>시스템에어컨</t>
        </is>
      </c>
      <c r="D93" s="129">
        <f>IFERROR(INDEX(자재마스터!$J:$J,MATCH("aircon|"&amp;우리집!$B$74,자재마스터!$Z:$Z,0)),"-")</f>
        <v/>
      </c>
      <c r="E93" s="118">
        <f>1</f>
        <v/>
      </c>
      <c r="F93" s="118">
        <f>우리집!$B$74</f>
        <v/>
      </c>
      <c r="G93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3" s="168">
        <f>IFERROR(INDEX(자재마스터!$M:$M,MATCH("aircon|"&amp;우리집!$B$74,자재마스터!$Z:$Z,0)),0)</f>
        <v/>
      </c>
      <c r="I93" s="129">
        <f>IFERROR(E93*H93*IF(공사범위!$E$5="Y",1,0),0)</f>
        <v/>
      </c>
      <c r="P93" s="129">
        <f>IFERROR(INDEX(자재마스터!$D:$D,MATCH("aircon|"&amp;우리집!$B$74,자재마스터!$Z:$Z,0)),"")</f>
        <v/>
      </c>
    </row>
    <row r="94" ht="15" customHeight="1" s="95">
      <c r="A94" s="118" t="n">
        <v>75</v>
      </c>
      <c r="B94" s="118" t="inlineStr">
        <is>
          <t>작은방1</t>
        </is>
      </c>
      <c r="C94" s="118" t="inlineStr">
        <is>
          <t>시스템에어컨</t>
        </is>
      </c>
      <c r="D94" s="129">
        <f>IFERROR(INDEX(자재마스터!$J:$J,MATCH("aircon|"&amp;우리집!$B$74,자재마스터!$Z:$Z,0)),"-")</f>
        <v/>
      </c>
      <c r="E94" s="118">
        <f>1</f>
        <v/>
      </c>
      <c r="F94" s="118">
        <f>우리집!$B$74</f>
        <v/>
      </c>
      <c r="G94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4" s="168">
        <f>IFERROR(INDEX(자재마스터!$M:$M,MATCH("aircon|"&amp;우리집!$B$74,자재마스터!$Z:$Z,0)),0)</f>
        <v/>
      </c>
      <c r="I94" s="129">
        <f>IFERROR(E94*H94*IF(공사범위!$E$6="Y",1,0),0)</f>
        <v/>
      </c>
      <c r="P94" s="129">
        <f>IFERROR(INDEX(자재마스터!$D:$D,MATCH("aircon|"&amp;우리집!$B$74,자재마스터!$Z:$Z,0)),"")</f>
        <v/>
      </c>
    </row>
    <row r="95" ht="15" customHeight="1" s="95">
      <c r="A95" s="118" t="n">
        <v>76</v>
      </c>
      <c r="B95" s="118" t="inlineStr">
        <is>
          <t>전체</t>
        </is>
      </c>
      <c r="C95" s="118" t="inlineStr">
        <is>
          <t>에어컨 실외기</t>
        </is>
      </c>
      <c r="D95" s="129">
        <f>IFERROR(INDEX(자재마스터!$J:$J,MATCH("aircon_outdoor|"&amp;우리집!$B$74,자재마스터!$Z:$Z,0)),"-")</f>
        <v/>
      </c>
      <c r="E95" s="118">
        <f>1</f>
        <v/>
      </c>
      <c r="F95" s="118">
        <f>우리집!$B$74</f>
        <v/>
      </c>
      <c r="G95" s="129">
        <f>IFERROR((INDEX(자재마스터!$F:$F, MATCH("aircon_outdoor|"&amp;우리집!$B$74,자재마스터!$Z:$Z,0)) &amp; " " &amp; INDEX(자재마스터!$G:$G, MATCH("aircon_outdoor|"&amp;우리집!$B$74,자재마스터!$Z:$Z,0))),"매칭없음")</f>
        <v/>
      </c>
      <c r="H95" s="168">
        <f>IFERROR(INDEX(자재마스터!$M:$M,MATCH("aircon_outdoor|"&amp;우리집!$B$74,자재마스터!$Z:$Z,0)),0)</f>
        <v/>
      </c>
      <c r="I95" s="129">
        <f>IFERROR(E95*H95*IF(공사범위!$B$21="Y",1,0),0)</f>
        <v/>
      </c>
      <c r="P95" s="129">
        <f>IFERROR(INDEX(자재마스터!$D:$D,MATCH("aircon_outdoor|"&amp;우리집!$B$74,자재마스터!$Z:$Z,0)),"")</f>
        <v/>
      </c>
    </row>
    <row r="96" ht="15" customHeight="1" s="95">
      <c r="A96" s="167" t="n"/>
      <c r="B96" s="167" t="n"/>
      <c r="C96" s="120" t="inlineStr">
        <is>
          <t>━ 시스템에어컨 소계</t>
        </is>
      </c>
      <c r="D96" s="167" t="n"/>
      <c r="E96" s="167" t="n"/>
      <c r="F96" s="167" t="n"/>
      <c r="G96" s="167" t="n"/>
      <c r="H96" s="167" t="n"/>
      <c r="I96" s="159">
        <f>SUM(I92:I95,I125:I126)</f>
        <v/>
      </c>
    </row>
    <row r="97" ht="15" customHeight="1" s="95">
      <c r="A97" s="118" t="n">
        <v>77</v>
      </c>
      <c r="B97" s="118" t="inlineStr">
        <is>
          <t>거실</t>
        </is>
      </c>
      <c r="C97" s="118" t="inlineStr">
        <is>
          <t>실링팬</t>
        </is>
      </c>
      <c r="D97" s="129">
        <f>IFERROR(INDEX(자재마스터!$J:$J,MATCH("ceiling_fan|"&amp;우리집!$B$76,자재마스터!$Z:$Z,0)),"-")</f>
        <v/>
      </c>
      <c r="E97" s="118">
        <f>1</f>
        <v/>
      </c>
      <c r="F97" s="118">
        <f>우리집!$B$76</f>
        <v/>
      </c>
      <c r="G97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7" s="168">
        <f>IFERROR(INDEX(자재마스터!$M:$M,MATCH("ceiling_fan|"&amp;우리집!$B$76,자재마스터!$Z:$Z,0)),0)</f>
        <v/>
      </c>
      <c r="I97" s="129">
        <f>IFERROR(E97*H97*IF(공사범위!$G$3="Y",1,0),0)</f>
        <v/>
      </c>
      <c r="P97" s="129">
        <f>IFERROR(INDEX(자재마스터!$D:$D,MATCH("ceiling_fan|"&amp;우리집!$B$76,자재마스터!$Z:$Z,0)),"")</f>
        <v/>
      </c>
    </row>
    <row r="98" ht="15" customHeight="1" s="95">
      <c r="A98" s="118" t="n">
        <v>78</v>
      </c>
      <c r="B98" s="118" t="inlineStr">
        <is>
          <t>안방</t>
        </is>
      </c>
      <c r="C98" s="118" t="inlineStr">
        <is>
          <t>실링팬</t>
        </is>
      </c>
      <c r="D98" s="129">
        <f>IFERROR(INDEX(자재마스터!$J:$J,MATCH("ceiling_fan|"&amp;우리집!$B$76,자재마스터!$Z:$Z,0)),"-")</f>
        <v/>
      </c>
      <c r="E98" s="118">
        <f>1</f>
        <v/>
      </c>
      <c r="F98" s="118">
        <f>우리집!$B$76</f>
        <v/>
      </c>
      <c r="G98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8" s="168">
        <f>IFERROR(INDEX(자재마스터!$M:$M,MATCH("ceiling_fan|"&amp;우리집!$B$76,자재마스터!$Z:$Z,0)),0)</f>
        <v/>
      </c>
      <c r="I98" s="129">
        <f>IFERROR(E98*H98*IF(공사범위!$G$5="Y",1,0),0)</f>
        <v/>
      </c>
      <c r="P98" s="129">
        <f>IFERROR(INDEX(자재마스터!$D:$D,MATCH("ceiling_fan|"&amp;우리집!$B$76,자재마스터!$Z:$Z,0)),"")</f>
        <v/>
      </c>
    </row>
    <row r="99" ht="15" customHeight="1" s="95">
      <c r="A99" s="167" t="n"/>
      <c r="B99" s="167" t="n"/>
      <c r="C99" s="120" t="inlineStr">
        <is>
          <t>━ 실링팬 소계</t>
        </is>
      </c>
      <c r="D99" s="167" t="n"/>
      <c r="E99" s="167" t="n"/>
      <c r="F99" s="167" t="n"/>
      <c r="G99" s="167" t="n"/>
      <c r="H99" s="167" t="n"/>
      <c r="I99" s="159">
        <f>SUM(I97:I98,I127:I129)</f>
        <v/>
      </c>
    </row>
    <row r="100" ht="15" customHeight="1" s="95">
      <c r="A100" s="118" t="n">
        <v>79</v>
      </c>
      <c r="B100" s="118" t="inlineStr">
        <is>
          <t>전체</t>
        </is>
      </c>
      <c r="C100" s="118" t="inlineStr">
        <is>
          <t>목공사 기본</t>
        </is>
      </c>
      <c r="D100" s="129">
        <f>IFERROR(INDEX(자재마스터!$J:$J,MATCH("carpentry_base|"&amp;우리집!$B$77,자재마스터!$Z:$Z,0)),"-")</f>
        <v/>
      </c>
      <c r="E100" s="118" t="n">
        <v>1</v>
      </c>
      <c r="F100" s="118">
        <f>우리집!$B$77</f>
        <v/>
      </c>
      <c r="G100" s="129">
        <f>IFERROR((INDEX(자재마스터!$F:$F, MATCH("carpentry_base|"&amp;우리집!$B$77,자재마스터!$Z:$Z,0)) &amp; " " &amp; INDEX(자재마스터!$G:$G, MATCH("carpentry_base|"&amp;우리집!$B$77,자재마스터!$Z:$Z,0))),"매칭없음")</f>
        <v/>
      </c>
      <c r="H100" s="168">
        <f>IFERROR(INDEX(자재마스터!$M:$M,MATCH("carpentry_base|"&amp;우리집!$B$77,자재마스터!$Z:$Z,0)),0)</f>
        <v/>
      </c>
      <c r="I100" s="129">
        <f>IFERROR(E100*H100*IF(우리집!$B$55="Y",1,0),0)</f>
        <v/>
      </c>
      <c r="P100" s="129">
        <f>IFERROR(INDEX(자재마스터!$D:$D,MATCH("carpentry_base|"&amp;우리집!$B$77,자재마스터!$Z:$Z,0)),"")</f>
        <v/>
      </c>
    </row>
    <row r="101" ht="15" customHeight="1" s="95">
      <c r="A101" s="114" t="n">
        <v>80</v>
      </c>
      <c r="B101" s="114" t="inlineStr">
        <is>
          <t>거실</t>
        </is>
      </c>
      <c r="C101" s="114" t="inlineStr">
        <is>
          <t>천정 우물→평천정</t>
        </is>
      </c>
      <c r="D101" s="111">
        <f>IFERROR(INDEX(자재마스터!$J:$J,MATCH("carpentry_ceiling|"&amp;우리집!$B$77,자재마스터!$Z:$Z,0)),"-")</f>
        <v/>
      </c>
      <c r="E101" s="111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01" s="114">
        <f>우리집!$B$77</f>
        <v/>
      </c>
      <c r="G101" s="111">
        <f>IFERROR((INDEX(자재마스터!$F:$F, MATCH("carpentry_ceiling|"&amp;우리집!$B$77,자재마스터!$Z:$Z,0)) &amp; " " &amp; INDEX(자재마스터!$G:$G, MATCH("carpentry_ceiling|"&amp;우리집!$B$77,자재마스터!$Z:$Z,0))),"매칭없음")</f>
        <v/>
      </c>
      <c r="H101" s="161">
        <f>IFERROR(INDEX(자재마스터!$M:$M,MATCH("carpentry_ceiling|"&amp;우리집!$B$77,자재마스터!$Z:$Z,0)),0)</f>
        <v/>
      </c>
      <c r="I101" s="162">
        <f>IFERROR(E101*H101*IF(공사범위!$B$19="Y",1,0),0)</f>
        <v/>
      </c>
      <c r="P101" s="129">
        <f>IFERROR(INDEX(자재마스터!$D:$D,MATCH("carpentry_ceiling|"&amp;우리집!$B$77,자재마스터!$Z:$Z,0)),"")</f>
        <v/>
      </c>
    </row>
    <row r="102" ht="15" customHeight="1" s="95">
      <c r="A102" s="118" t="n">
        <v>81</v>
      </c>
      <c r="B102" s="118" t="inlineStr">
        <is>
          <t>전체</t>
        </is>
      </c>
      <c r="C102" s="118" t="inlineStr">
        <is>
          <t>가벽/구조 변경</t>
        </is>
      </c>
      <c r="D102" s="129">
        <f>IFERROR(INDEX(자재마스터!$J:$J,MATCH("carpentry_partition|"&amp;우리집!$B$77,자재마스터!$Z:$Z,0)),"-")</f>
        <v/>
      </c>
      <c r="E102" s="129">
        <f>IFERROR(IF(ISNUMBER(우리집!$B$41),우리집!$B$41*2.3,0),0)</f>
        <v/>
      </c>
      <c r="F102" s="118">
        <f>우리집!$B$77</f>
        <v/>
      </c>
      <c r="G102" s="129">
        <f>IFERROR((INDEX(자재마스터!$F:$F, MATCH("carpentry_partition|"&amp;우리집!$B$77,자재마스터!$Z:$Z,0)) &amp; " " &amp; INDEX(자재마스터!$G:$G, MATCH("carpentry_partition|"&amp;우리집!$B$77,자재마스터!$Z:$Z,0))),"매칭없음")</f>
        <v/>
      </c>
      <c r="H102" s="168">
        <f>IFERROR(INDEX(자재마스터!$M:$M,MATCH("carpentry_partition|"&amp;우리집!$B$77,자재마스터!$Z:$Z,0)),0)</f>
        <v/>
      </c>
      <c r="I102" s="129">
        <f>IFERROR(E102*H102*IF(IFERROR(IF(ISNUMBER(우리집!$B$41),우리집!$B$41,0),0)&gt;0,1,0),0)</f>
        <v/>
      </c>
      <c r="P102" s="129">
        <f>IFERROR(INDEX(자재마스터!$D:$D,MATCH("carpentry_partition|"&amp;우리집!$B$77,자재마스터!$Z:$Z,0)),"")</f>
        <v/>
      </c>
    </row>
    <row r="103" ht="15" customHeight="1" s="95">
      <c r="A103" s="167" t="n"/>
      <c r="B103" s="167" t="n"/>
      <c r="C103" s="120" t="inlineStr">
        <is>
          <t>━ 목공사 소계</t>
        </is>
      </c>
      <c r="D103" s="167" t="n"/>
      <c r="E103" s="167" t="n"/>
      <c r="F103" s="167" t="n"/>
      <c r="G103" s="167" t="n"/>
      <c r="H103" s="167" t="n"/>
      <c r="I103" s="159">
        <f>SUM(I100:I102)</f>
        <v/>
      </c>
    </row>
    <row r="104" ht="15" customHeight="1" s="95">
      <c r="A104" s="118" t="n">
        <v>82</v>
      </c>
      <c r="B104" s="118" t="inlineStr">
        <is>
          <t>전체</t>
        </is>
      </c>
      <c r="C104" s="118" t="inlineStr">
        <is>
          <t>확장공사</t>
        </is>
      </c>
      <c r="D104" s="129">
        <f>IFERROR(INDEX(자재마스터!$J:$J,MATCH("expansion|"&amp;우리집!$B$79,자재마스터!$Z:$Z,0)),"-")</f>
        <v/>
      </c>
      <c r="E104" s="169">
        <f>확장설정!$F$12</f>
        <v/>
      </c>
      <c r="F104" s="118">
        <f>우리집!$B$79</f>
        <v/>
      </c>
      <c r="G104" s="129">
        <f>IFERROR((INDEX(자재마스터!$F:$F, MATCH("expansion|"&amp;우리집!$B$79,자재마스터!$Z:$Z,0)) &amp; " " &amp; INDEX(자재마스터!$G:$G, MATCH("expansion|"&amp;우리집!$B$79,자재마스터!$Z:$Z,0))),"매칭없음")</f>
        <v/>
      </c>
      <c r="H104" s="168">
        <f>IFERROR(INDEX(자재마스터!$M:$M,MATCH("expansion|"&amp;우리집!$B$79,자재마스터!$Z:$Z,0)),0)</f>
        <v/>
      </c>
      <c r="I104" s="129">
        <f>IFERROR(E104*H104*IF(확장설정!$G$12="Y",1,0),0)</f>
        <v/>
      </c>
      <c r="P104" s="129">
        <f>IFERROR(INDEX(자재마스터!$D:$D,MATCH("expansion|"&amp;우리집!$B$79,자재마스터!$Z:$Z,0)),"")</f>
        <v/>
      </c>
    </row>
    <row r="105" ht="15" customHeight="1" s="95">
      <c r="A105" s="167" t="n"/>
      <c r="B105" s="167" t="n"/>
      <c r="C105" s="120" t="inlineStr">
        <is>
          <t>━ 확장공사 소계</t>
        </is>
      </c>
      <c r="D105" s="167" t="n"/>
      <c r="E105" s="167" t="n"/>
      <c r="F105" s="167" t="n"/>
      <c r="G105" s="167" t="n"/>
      <c r="H105" s="167" t="n"/>
      <c r="I105" s="159">
        <f>SUM(I104)</f>
        <v/>
      </c>
    </row>
    <row r="106" ht="15" customHeight="1" s="95">
      <c r="A106" s="114" t="n">
        <v>83</v>
      </c>
      <c r="B106" s="114" t="inlineStr">
        <is>
          <t>발코니</t>
        </is>
      </c>
      <c r="C106" s="114" t="inlineStr">
        <is>
          <t>발코니 바닥타일</t>
        </is>
      </c>
      <c r="D106" s="111">
        <f>IFERROR(INDEX(자재마스터!$J:$J,MATCH("balcony_floor_tile|"&amp;우리집!$B$64,자재마스터!$Z:$Z,0)),"-")</f>
        <v/>
      </c>
      <c r="E106" s="111">
        <f>(INDEX(표준면적!$B$27:$G$27,1,MATCH(표준면적!$J$2,표준면적!$B$2:$G$2,0))+(INDEX(표준면적!$B$27:$G$27,1,(MATCH(표준면적!$J$2,표준면적!$B$2:$G$2,0)+1))-INDEX(표준면적!$B$27:$G$27,1,MATCH(표준면적!$J$2,표준면적!$B$2:$G$2,0)))*표준면적!$J$4)*(1-IFERROR(확장설정!$F$12/SUM(확장설정!$C$7:$C$11),0))</f>
        <v/>
      </c>
      <c r="F106" s="114">
        <f>우리집!$B$64</f>
        <v/>
      </c>
      <c r="G106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6" s="161">
        <f>IFERROR(INDEX(자재마스터!$M:$M,MATCH("balcony_floor_tile|"&amp;우리집!$B$64,자재마스터!$Z:$Z,0)),0)</f>
        <v/>
      </c>
      <c r="I106" s="162">
        <f>IFERROR(E106*H106*IF(우리집!$B$51="Y",1,0),0)</f>
        <v/>
      </c>
      <c r="P106" s="129">
        <f>IFERROR(INDEX(자재마스터!$D:$D,MATCH("balcony_floor_tile|"&amp;우리집!$B$64,자재마스터!$Z:$Z,0)),"")</f>
        <v/>
      </c>
    </row>
    <row r="107" ht="15" customHeight="1" s="95">
      <c r="A107" s="114" t="n">
        <v>84</v>
      </c>
      <c r="B107" s="114" t="inlineStr">
        <is>
          <t>발코니</t>
        </is>
      </c>
      <c r="C107" s="114" t="inlineStr">
        <is>
          <t>발코니 도장</t>
        </is>
      </c>
      <c r="D107" s="111">
        <f>IFERROR(INDEX(자재마스터!$J:$J,MATCH("balcony_paint|"&amp;우리집!$B$65,자재마스터!$Z:$Z,0)),"-")</f>
        <v/>
      </c>
      <c r="E107" s="111">
        <f>(INDEX(표준면적!$B$29:$G$29,1,MATCH(표준면적!$J$2,표준면적!$B$2:$G$2,0))+(INDEX(표준면적!$B$29:$G$29,1,(MATCH(표준면적!$J$2,표준면적!$B$2:$G$2,0)+1))-INDEX(표준면적!$B$29:$G$29,1,MATCH(표준면적!$J$2,표준면적!$B$2:$G$2,0)))*표준면적!$J$4)*(1-IFERROR(확장설정!$F$12/SUM(확장설정!$C$7:$C$11),0))</f>
        <v/>
      </c>
      <c r="F107" s="114">
        <f>우리집!$B$65</f>
        <v/>
      </c>
      <c r="G107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7" s="161">
        <f>IFERROR(INDEX(자재마스터!$M:$M,MATCH("balcony_paint|"&amp;우리집!$B$65,자재마스터!$Z:$Z,0)),0)</f>
        <v/>
      </c>
      <c r="I107" s="162">
        <f>IFERROR(E107*H107*IF(우리집!$B$52="Y",1,0),0)</f>
        <v/>
      </c>
      <c r="P107" s="129">
        <f>IFERROR(INDEX(자재마스터!$D:$D,MATCH("balcony_paint|"&amp;우리집!$B$65,자재마스터!$Z:$Z,0)),"")</f>
        <v/>
      </c>
    </row>
    <row r="108" ht="15" customHeight="1" s="95">
      <c r="A108" s="114" t="n">
        <v>85</v>
      </c>
      <c r="B108" s="114" t="inlineStr">
        <is>
          <t>다용도실</t>
        </is>
      </c>
      <c r="C108" s="114" t="inlineStr">
        <is>
          <t>다용도실 바닥타일</t>
        </is>
      </c>
      <c r="D108" s="111">
        <f>IFERROR(INDEX(자재마스터!$J:$J,MATCH("balcony_floor_tile|"&amp;우리집!$B$64,자재마스터!$Z:$Z,0)),"-")</f>
        <v/>
      </c>
      <c r="E108" s="111">
        <f>(INDEX(표준면적!$B$28:$G$28,1,MATCH(표준면적!$J$2,표준면적!$B$2:$G$2,0))+(INDEX(표준면적!$B$28:$G$28,1,(MATCH(표준면적!$J$2,표준면적!$B$2:$G$2,0)+1))-INDEX(표준면적!$B$28:$G$28,1,MATCH(표준면적!$J$2,표준면적!$B$2:$G$2,0)))*표준면적!$J$4)*IF(확장설정!$E$11="N",1,0)</f>
        <v/>
      </c>
      <c r="F108" s="114">
        <f>우리집!$B$64</f>
        <v/>
      </c>
      <c r="G108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8" s="161">
        <f>IFERROR(INDEX(자재마스터!$M:$M,MATCH("balcony_floor_tile|"&amp;우리집!$B$64,자재마스터!$Z:$Z,0)),0)</f>
        <v/>
      </c>
      <c r="I108" s="162">
        <f>IFERROR(E108*H108*IF(우리집!$B$53="Y",1,0),0)</f>
        <v/>
      </c>
      <c r="P108" s="129">
        <f>IFERROR(INDEX(자재마스터!$D:$D,MATCH("balcony_floor_tile|"&amp;우리집!$B$64,자재마스터!$Z:$Z,0)),"")</f>
        <v/>
      </c>
    </row>
    <row r="109" ht="15" customHeight="1" s="95">
      <c r="A109" s="114" t="n">
        <v>86</v>
      </c>
      <c r="B109" s="114" t="inlineStr">
        <is>
          <t>다용도실</t>
        </is>
      </c>
      <c r="C109" s="114" t="inlineStr">
        <is>
          <t>다용도실 도장</t>
        </is>
      </c>
      <c r="D109" s="111">
        <f>IFERROR(INDEX(자재마스터!$J:$J,MATCH("balcony_paint|"&amp;우리집!$B$65,자재마스터!$Z:$Z,0)),"-")</f>
        <v/>
      </c>
      <c r="E109" s="111">
        <f>(INDEX(표준면적!$B$30:$G$30,1,MATCH(표준면적!$J$2,표준면적!$B$2:$G$2,0))+(INDEX(표준면적!$B$30:$G$30,1,(MATCH(표준면적!$J$2,표준면적!$B$2:$G$2,0)+1))-INDEX(표준면적!$B$30:$G$30,1,MATCH(표준면적!$J$2,표준면적!$B$2:$G$2,0)))*표준면적!$J$4)*IF(확장설정!$E$11="N",1,0)</f>
        <v/>
      </c>
      <c r="F109" s="114">
        <f>우리집!$B$65</f>
        <v/>
      </c>
      <c r="G109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9" s="161">
        <f>IFERROR(INDEX(자재마스터!$M:$M,MATCH("balcony_paint|"&amp;우리집!$B$65,자재마스터!$Z:$Z,0)),0)</f>
        <v/>
      </c>
      <c r="I109" s="162">
        <f>IFERROR(E109*H109*IF(우리집!$B$54="Y",1,0),0)</f>
        <v/>
      </c>
      <c r="P109" s="129">
        <f>IFERROR(INDEX(자재마스터!$D:$D,MATCH("balcony_paint|"&amp;우리집!$B$65,자재마스터!$Z:$Z,0)),"")</f>
        <v/>
      </c>
    </row>
    <row r="110" ht="15.65" customHeight="1" s="95">
      <c r="A110" s="167" t="n"/>
      <c r="B110" s="167" t="n"/>
      <c r="C110" s="120" t="inlineStr">
        <is>
          <t>━ 발코니/다용도실 소계</t>
        </is>
      </c>
      <c r="D110" s="167" t="n"/>
      <c r="E110" s="167" t="n"/>
      <c r="F110" s="167" t="n"/>
      <c r="G110" s="167" t="n"/>
      <c r="H110" s="167" t="n"/>
      <c r="I110" s="159">
        <f>SUM(I106:I109)</f>
        <v/>
      </c>
    </row>
    <row r="111" ht="15" customHeight="1" s="95">
      <c r="A111" s="118" t="n">
        <v>87</v>
      </c>
      <c r="B111" s="118" t="inlineStr">
        <is>
          <t>전체</t>
        </is>
      </c>
      <c r="C111" s="118" t="inlineStr">
        <is>
          <t>구청 확장공사 신고</t>
        </is>
      </c>
      <c r="D111" s="129">
        <f>IFERROR(INDEX(자재마스터!$J:$J,MATCH("구청 확장공사 신고|"&amp;우리집!$B$79,자재마스터!$AA:$AA,0)),"-")</f>
        <v/>
      </c>
      <c r="E111" s="118" t="n">
        <v>1</v>
      </c>
      <c r="F111" s="118">
        <f>우리집!$B$79</f>
        <v/>
      </c>
      <c r="G111" s="129">
        <f>IFERROR((INDEX(자재마스터!$F:$F, MATCH("구청 확장공사 신고|"&amp;우리집!$B$79,자재마스터!$AA:$AA,0)) &amp; " " &amp; INDEX(자재마스터!$G:$G, MATCH("구청 확장공사 신고|"&amp;우리집!$B$79,자재마스터!$AA:$AA,0))),"매칭없음")</f>
        <v/>
      </c>
      <c r="H111" s="129">
        <f>IFERROR(INDEX(자재마스터!$M:$M,MATCH("구청 확장공사 신고|"&amp;우리집!$B$79,자재마스터!$AA:$AA,0)),0)</f>
        <v/>
      </c>
      <c r="I111" s="129">
        <f>IFERROR(E111*H111*IF(AND(확장설정!$F$12&gt;0,공사범위!$B$25="Y"),1,0),0)</f>
        <v/>
      </c>
      <c r="P111" s="129">
        <f>IFERROR(INDEX(자재마스터!$D:$D,MATCH("구청 확장공사 신고|"&amp;우리집!$B$79,자재마스터!$AA:$AA,0)),"")</f>
        <v/>
      </c>
    </row>
    <row r="112" ht="15.65" customHeight="1" s="95">
      <c r="A112" s="167" t="n"/>
      <c r="B112" s="167" t="n"/>
      <c r="C112" s="120" t="inlineStr">
        <is>
          <t>━ 허가·신고 소계</t>
        </is>
      </c>
      <c r="D112" s="167" t="n"/>
      <c r="E112" s="167" t="n"/>
      <c r="F112" s="167" t="n"/>
      <c r="G112" s="167" t="n"/>
      <c r="H112" s="167" t="n"/>
      <c r="I112" s="159">
        <f>SUM(I111)</f>
        <v/>
      </c>
    </row>
    <row r="113" ht="15" customHeight="1" s="95">
      <c r="A113" s="118" t="n">
        <v>88</v>
      </c>
      <c r="B113" s="118" t="inlineStr">
        <is>
          <t>전체</t>
        </is>
      </c>
      <c r="C113" s="118" t="inlineStr">
        <is>
          <t>실리콘 - 인건비</t>
        </is>
      </c>
      <c r="D113" s="129">
        <f>IFERROR(INDEX(자재마스터!$J:$J,MATCH("silicon_labor|"&amp;우리집!$B$81,자재마스터!$Z:$Z,0)),"-")</f>
        <v/>
      </c>
      <c r="E113" s="129">
        <f>IF(우리집!$B$8&lt;=24,0.7,IF(우리집!$B$8&lt;=27,0.8,IF(우리집!$B$8&lt;=32,0.95,IF(우리집!$B$8&lt;=37,1,IF(우리집!$B$8&lt;=44,1.15,IF(우리집!$B$8&lt;=52,1.3,1.3*우리집!$B$8/48))))))</f>
        <v/>
      </c>
      <c r="F113" s="118">
        <f>우리집!$B$81</f>
        <v/>
      </c>
      <c r="G113" s="129">
        <f>IFERROR((INDEX(자재마스터!$F:$F, MATCH("silicon_labor|"&amp;우리집!$B$81,자재마스터!$Z:$Z,0)) &amp; " " &amp; INDEX(자재마스터!$G:$G, MATCH("silicon_labor|"&amp;우리집!$B$81,자재마스터!$Z:$Z,0))),"매칭없음")</f>
        <v/>
      </c>
      <c r="H113" s="129">
        <f>IFERROR(INDEX(자재마스터!$M:$M,MATCH("silicon_labor|"&amp;우리집!$B$81,자재마스터!$Z:$Z,0)),0)</f>
        <v/>
      </c>
      <c r="I113" s="170">
        <f>IFERROR(E113*H113,0)</f>
        <v/>
      </c>
      <c r="J113" s="97" t="n"/>
      <c r="P113" s="129">
        <f>IFERROR(INDEX(자재마스터!$D:$D,MATCH("silicon_labor|"&amp;우리집!$B$81,자재마스터!$Z:$Z,0)),"")</f>
        <v/>
      </c>
    </row>
    <row r="114" ht="15" customHeight="1" s="95">
      <c r="A114" s="114" t="n">
        <v>89</v>
      </c>
      <c r="B114" s="114" t="inlineStr">
        <is>
          <t>전체</t>
        </is>
      </c>
      <c r="C114" s="114" t="inlineStr">
        <is>
          <t>실리콘 - 자재 (욕실·주방)</t>
        </is>
      </c>
      <c r="D114" s="111">
        <f>IFERROR(INDEX(자재마스터!$J:$J,MATCH("silicon_bio|"&amp;우리집!$B$81,자재마스터!$Z:$Z,0)),"-")</f>
        <v/>
      </c>
      <c r="E114" s="111">
        <f>IF(우리집!$B$8&lt;=24,0.7,IF(우리집!$B$8&lt;=27,0.8,IF(우리집!$B$8&lt;=32,0.95,IF(우리집!$B$8&lt;=37,1,IF(우리집!$B$8&lt;=44,1.15,IF(우리집!$B$8&lt;=52,1.3,1.3*우리집!$B$8/48))))))</f>
        <v/>
      </c>
      <c r="F114" s="114">
        <f>우리집!$B$81</f>
        <v/>
      </c>
      <c r="G114" s="111">
        <f>IFERROR((INDEX(자재마스터!$F:$F, MATCH("silicon_bio|"&amp;우리집!$B$81,자재마스터!$Z:$Z,0)) &amp; " " &amp; INDEX(자재마스터!$G:$G, MATCH("silicon_bio|"&amp;우리집!$B$81,자재마스터!$Z:$Z,0))),"매칭없음")</f>
        <v/>
      </c>
      <c r="H114" s="111">
        <f>IFERROR(INDEX(자재마스터!$M:$M,MATCH("silicon_bio|"&amp;우리집!$B$81,자재마스터!$Z:$Z,0)),0)</f>
        <v/>
      </c>
      <c r="I114" s="114">
        <f>IFERROR(E114*H114,0)</f>
        <v/>
      </c>
      <c r="P114" s="129">
        <f>IFERROR(INDEX(자재마스터!$D:$D,MATCH("silicon_bio|"&amp;우리집!$B$81,자재마스터!$Z:$Z,0)),"")</f>
        <v/>
      </c>
    </row>
    <row r="115" ht="15" customHeight="1" s="95">
      <c r="A115" s="114" t="n">
        <v>90</v>
      </c>
      <c r="B115" s="114" t="inlineStr">
        <is>
          <t>전체</t>
        </is>
      </c>
      <c r="C115" s="114" t="inlineStr">
        <is>
          <t>실리콘 - 자재 (외기·새시)</t>
        </is>
      </c>
      <c r="D115" s="111">
        <f>IFERROR(INDEX(자재마스터!$J:$J,MATCH("silicon_modified|"&amp;우리집!$B$81,자재마스터!$Z:$Z,0)),"-")</f>
        <v/>
      </c>
      <c r="E115" s="111">
        <f>IF(우리집!$B$8&lt;=24,0.7,IF(우리집!$B$8&lt;=27,0.8,IF(우리집!$B$8&lt;=32,0.95,IF(우리집!$B$8&lt;=37,1,IF(우리집!$B$8&lt;=44,1.15,IF(우리집!$B$8&lt;=52,1.3,1.3*우리집!$B$8/48))))))</f>
        <v/>
      </c>
      <c r="F115" s="114">
        <f>우리집!$B$81</f>
        <v/>
      </c>
      <c r="G115" s="111">
        <f>IFERROR((INDEX(자재마스터!$F:$F, MATCH("silicon_modified|"&amp;우리집!$B$81,자재마스터!$Z:$Z,0)) &amp; " " &amp; INDEX(자재마스터!$G:$G, MATCH("silicon_modified|"&amp;우리집!$B$81,자재마스터!$Z:$Z,0))),"매칭없음")</f>
        <v/>
      </c>
      <c r="H115" s="111">
        <f>IFERROR(INDEX(자재마스터!$M:$M,MATCH("silicon_modified|"&amp;우리집!$B$81,자재마스터!$Z:$Z,0)),0)</f>
        <v/>
      </c>
      <c r="I115" s="114">
        <f>IFERROR(E115*H115,0)</f>
        <v/>
      </c>
      <c r="P115" s="129">
        <f>IFERROR(INDEX(자재마스터!$D:$D,MATCH("silicon_modified|"&amp;우리집!$B$81,자재마스터!$Z:$Z,0)),"")</f>
        <v/>
      </c>
    </row>
    <row r="116" ht="15" customHeight="1" s="95">
      <c r="A116" s="167" t="n"/>
      <c r="B116" s="167" t="n"/>
      <c r="C116" s="120" t="inlineStr">
        <is>
          <t>━ 마감 소계</t>
        </is>
      </c>
      <c r="D116" s="167" t="n"/>
      <c r="E116" s="167" t="n"/>
      <c r="F116" s="167" t="n"/>
      <c r="G116" s="167" t="n"/>
      <c r="H116" s="167" t="n"/>
      <c r="I116" s="159">
        <f>SUM(I113:I115)</f>
        <v/>
      </c>
    </row>
    <row r="117" ht="15" customHeight="1" s="95">
      <c r="A117" s="118" t="n">
        <v>90</v>
      </c>
      <c r="B117" s="118" t="inlineStr">
        <is>
          <t>거실</t>
        </is>
      </c>
      <c r="C117" s="118" t="inlineStr">
        <is>
          <t>샷시 교체 (공간별)</t>
        </is>
      </c>
      <c r="D117" s="129">
        <f>IFERROR(INDEX(자재마스터!$J:$J,MATCH("window|"&amp;우리집!$B$73,자재마스터!$Z:$Z,0)),"-")</f>
        <v/>
      </c>
      <c r="E117" s="129">
        <f>IFERROR(우리집!$B$16*확장설정!$C$7/SUM(확장설정!$C$7:$C$11),0)</f>
        <v/>
      </c>
      <c r="F117" s="118">
        <f>우리집!$B$73</f>
        <v/>
      </c>
      <c r="G117" s="129">
        <f>IFERROR((INDEX(자재마스터!$F:$F, MATCH("window|"&amp;우리집!$B$73,자재마스터!$Z:$Z,0)) &amp; " " &amp; INDEX(자재마스터!$G:$G, MATCH("window|"&amp;우리집!$B$73,자재마스터!$Z:$Z,0)))&amp;" (거실)","매칭없음")</f>
        <v/>
      </c>
      <c r="H117" s="168">
        <f>IFERROR(INDEX(자재마스터!$M:$M,MATCH("window|"&amp;우리집!$B$73,자재마스터!$Z:$Z,0)),0)</f>
        <v/>
      </c>
      <c r="I117" s="171">
        <f>IFERROR(E117*H117*IF(AND(우리집!$J$22="Y",NOT(AND(우리집!$B$22="N",우리집!$C$22="Y"))),1,0),0)</f>
        <v/>
      </c>
      <c r="J117" s="97" t="n"/>
      <c r="P117" s="129">
        <f>IFERROR(INDEX(자재마스터!$D:$D,MATCH("window|"&amp;우리집!$B$73,자재마스터!$Z:$Z,0)),"")</f>
        <v/>
      </c>
    </row>
    <row r="118" ht="15" customHeight="1" s="95">
      <c r="A118" s="118" t="n">
        <v>91</v>
      </c>
      <c r="B118" s="118" t="inlineStr">
        <is>
          <t>주방</t>
        </is>
      </c>
      <c r="C118" s="118" t="inlineStr">
        <is>
          <t>샷시 교체 (공간별)</t>
        </is>
      </c>
      <c r="D118" s="129">
        <f>IFERROR(INDEX(자재마스터!$J:$J,MATCH("window|"&amp;우리집!$B$73,자재마스터!$Z:$Z,0)),"-")</f>
        <v/>
      </c>
      <c r="E118" s="129">
        <f>IFERROR(우리집!$B$16*확장설정!$C$11/SUM(확장설정!$C$7:$C$11),0)</f>
        <v/>
      </c>
      <c r="F118" s="118">
        <f>우리집!$B$73</f>
        <v/>
      </c>
      <c r="G118" s="129">
        <f>IFERROR((INDEX(자재마스터!$F:$F, MATCH("window|"&amp;우리집!$B$73,자재마스터!$Z:$Z,0)) &amp; " " &amp; INDEX(자재마스터!$G:$G, MATCH("window|"&amp;우리집!$B$73,자재마스터!$Z:$Z,0)))&amp;" (주방)","매칭없음")</f>
        <v/>
      </c>
      <c r="H118" s="168">
        <f>IFERROR(INDEX(자재마스터!$M:$M,MATCH("window|"&amp;우리집!$B$73,자재마스터!$Z:$Z,0)),0)</f>
        <v/>
      </c>
      <c r="I118" s="129">
        <f>IFERROR(E118*H118*IF(AND(우리집!$J$23="Y",NOT(AND(우리집!$B$23="N",우리집!$C$23="Y"))),1,0),0)</f>
        <v/>
      </c>
      <c r="P118" s="129">
        <f>IFERROR(INDEX(자재마스터!$D:$D,MATCH("window|"&amp;우리집!$B$73,자재마스터!$Z:$Z,0)),"")</f>
        <v/>
      </c>
    </row>
    <row r="119" ht="15" customHeight="1" s="95">
      <c r="A119" s="118" t="n">
        <v>92</v>
      </c>
      <c r="B119" s="118" t="inlineStr">
        <is>
          <t>안방</t>
        </is>
      </c>
      <c r="C119" s="118" t="inlineStr">
        <is>
          <t>샷시 교체 (공간별)</t>
        </is>
      </c>
      <c r="D119" s="129">
        <f>IFERROR(INDEX(자재마스터!$J:$J,MATCH("window|"&amp;우리집!$B$73,자재마스터!$Z:$Z,0)),"-")</f>
        <v/>
      </c>
      <c r="E119" s="129">
        <f>IFERROR(우리집!$B$16*확장설정!$C$8/SUM(확장설정!$C$7:$C$11),0)</f>
        <v/>
      </c>
      <c r="F119" s="118">
        <f>우리집!$B$73</f>
        <v/>
      </c>
      <c r="G119" s="129">
        <f>IFERROR((INDEX(자재마스터!$F:$F, MATCH("window|"&amp;우리집!$B$73,자재마스터!$Z:$Z,0)) &amp; " " &amp; INDEX(자재마스터!$G:$G, MATCH("window|"&amp;우리집!$B$73,자재마스터!$Z:$Z,0)))&amp;" (안방)","매칭없음")</f>
        <v/>
      </c>
      <c r="H119" s="168">
        <f>IFERROR(INDEX(자재마스터!$M:$M,MATCH("window|"&amp;우리집!$B$73,자재마스터!$Z:$Z,0)),0)</f>
        <v/>
      </c>
      <c r="I119" s="129">
        <f>IFERROR(E119*H119*IF(AND(우리집!$J$24="Y",NOT(AND(우리집!$B$24="N",우리집!$C$24="Y"))),1,0),0)</f>
        <v/>
      </c>
      <c r="P119" s="129">
        <f>IFERROR(INDEX(자재마스터!$D:$D,MATCH("window|"&amp;우리집!$B$73,자재마스터!$Z:$Z,0)),"")</f>
        <v/>
      </c>
    </row>
    <row r="120" ht="15" customHeight="1" s="95">
      <c r="A120" s="118" t="n">
        <v>93</v>
      </c>
      <c r="B120" s="118" t="inlineStr">
        <is>
          <t>작은방1</t>
        </is>
      </c>
      <c r="C120" s="118" t="inlineStr">
        <is>
          <t>샷시 교체 (공간별)</t>
        </is>
      </c>
      <c r="D120" s="129">
        <f>IFERROR(INDEX(자재마스터!$J:$J,MATCH("window|"&amp;우리집!$B$73,자재마스터!$Z:$Z,0)),"-")</f>
        <v/>
      </c>
      <c r="E120" s="129">
        <f>IFERROR(우리집!$B$16*확장설정!$C$9/SUM(확장설정!$C$7:$C$11),0)</f>
        <v/>
      </c>
      <c r="F120" s="118">
        <f>우리집!$B$73</f>
        <v/>
      </c>
      <c r="G120" s="129">
        <f>IFERROR((INDEX(자재마스터!$F:$F, MATCH("window|"&amp;우리집!$B$73,자재마스터!$Z:$Z,0)) &amp; " " &amp; INDEX(자재마스터!$G:$G, MATCH("window|"&amp;우리집!$B$73,자재마스터!$Z:$Z,0)))&amp;" (작은방1)","매칭없음")</f>
        <v/>
      </c>
      <c r="H120" s="168">
        <f>IFERROR(INDEX(자재마스터!$M:$M,MATCH("window|"&amp;우리집!$B$73,자재마스터!$Z:$Z,0)),0)</f>
        <v/>
      </c>
      <c r="I120" s="129">
        <f>IFERROR(E120*H120*IF(AND(우리집!$J$25="Y",NOT(AND(우리집!$B$25="N",우리집!$C$25="Y"))),1,0),0)</f>
        <v/>
      </c>
      <c r="P120" s="129">
        <f>IFERROR(INDEX(자재마스터!$D:$D,MATCH("window|"&amp;우리집!$B$73,자재마스터!$Z:$Z,0)),"")</f>
        <v/>
      </c>
    </row>
    <row r="121" ht="15" customHeight="1" s="95">
      <c r="A121" s="118" t="n">
        <v>94</v>
      </c>
      <c r="B121" s="118" t="inlineStr">
        <is>
          <t>작은방2</t>
        </is>
      </c>
      <c r="C121" s="118" t="inlineStr">
        <is>
          <t>샷시 교체 (공간별)</t>
        </is>
      </c>
      <c r="D121" s="129">
        <f>IFERROR(INDEX(자재마스터!$J:$J,MATCH("window|"&amp;우리집!$B$73,자재마스터!$Z:$Z,0)),"-")</f>
        <v/>
      </c>
      <c r="E121" s="129">
        <f>IFERROR(우리집!$B$16*확장설정!$C$10/SUM(확장설정!$C$7:$C$11),0)</f>
        <v/>
      </c>
      <c r="F121" s="118">
        <f>우리집!$B$73</f>
        <v/>
      </c>
      <c r="G121" s="129">
        <f>IFERROR((INDEX(자재마스터!$F:$F, MATCH("window|"&amp;우리집!$B$73,자재마스터!$Z:$Z,0)) &amp; " " &amp; INDEX(자재마스터!$G:$G, MATCH("window|"&amp;우리집!$B$73,자재마스터!$Z:$Z,0)))&amp;" (작은방2)","매칭없음")</f>
        <v/>
      </c>
      <c r="H121" s="168">
        <f>IFERROR(INDEX(자재마스터!$M:$M,MATCH("window|"&amp;우리집!$B$73,자재마스터!$Z:$Z,0)),0)</f>
        <v/>
      </c>
      <c r="I121" s="129">
        <f>IFERROR(E121*H121*IF(AND(우리집!$J$26="Y",NOT(AND(우리집!$B$26="N",우리집!$C$26="Y"))),1,0),0)</f>
        <v/>
      </c>
      <c r="P121" s="129">
        <f>IFERROR(INDEX(자재마스터!$D:$D,MATCH("window|"&amp;우리집!$B$73,자재마스터!$Z:$Z,0)),"")</f>
        <v/>
      </c>
    </row>
    <row r="122" ht="15" customHeight="1" s="95">
      <c r="A122" s="167" t="n"/>
      <c r="B122" s="167" t="n"/>
      <c r="C122" s="120" t="inlineStr">
        <is>
          <t>━ 공간별 샷시 교체 소계</t>
        </is>
      </c>
      <c r="D122" s="167" t="n"/>
      <c r="E122" s="167" t="n"/>
      <c r="F122" s="167" t="n"/>
      <c r="G122" s="167" t="n"/>
      <c r="H122" s="167" t="n"/>
      <c r="I122" s="159">
        <f>SUM(I117:I121)</f>
        <v/>
      </c>
    </row>
    <row r="124" ht="15" customHeight="1" s="95">
      <c r="A124" s="114" t="inlineStr">
        <is>
          <t>합계</t>
        </is>
      </c>
      <c r="B124" s="167" t="n"/>
      <c r="C124" s="167" t="n"/>
      <c r="D124" s="167" t="n"/>
      <c r="E124" s="167" t="n"/>
      <c r="F124" s="167" t="n"/>
      <c r="G124" s="167" t="n"/>
      <c r="H124" s="167" t="n"/>
      <c r="I124" s="162">
        <f>I11+I14+I20+I26+I34+I38+I63+I71+I77+I86+I91+I96+I99+I103+I105+I110+I112+I116+I122</f>
        <v/>
      </c>
    </row>
    <row r="125" ht="15" customHeight="1" s="95">
      <c r="A125" s="114" t="inlineStr">
        <is>
          <t>73-1</t>
        </is>
      </c>
      <c r="B125" s="114" t="inlineStr">
        <is>
          <t>주방</t>
        </is>
      </c>
      <c r="C125" s="114" t="inlineStr">
        <is>
          <t>시스템에어컨 (보강)</t>
        </is>
      </c>
      <c r="D125" s="111">
        <f>IFERROR(INDEX(자재마스터!$J:$J,MATCH("aircon|"&amp;우리집!$B$74,자재마스터!$Z:$Z,0)),"-")</f>
        <v/>
      </c>
      <c r="E125" s="114" t="n">
        <v>1</v>
      </c>
      <c r="F125" s="114">
        <f>우리집!$B$74</f>
        <v/>
      </c>
      <c r="G125" s="111">
        <f>IFERROR((INDEX(자재마스터!$F:$F, MATCH("aircon|"&amp;우리집!$B$74,자재마스터!$Z:$Z,0)) &amp; " " &amp; INDEX(자재마스터!$G:$G, MATCH("aircon|"&amp;우리집!$B$74,자재마스터!$Z:$Z,0)))&amp;" (주방)","매칭없음")</f>
        <v/>
      </c>
      <c r="H125" s="161">
        <f>IFERROR(INDEX(자재마스터!$M:$M,MATCH("aircon|"&amp;우리집!$B$74,자재마스터!$Z:$Z,0)),0)</f>
        <v/>
      </c>
      <c r="I125" s="111">
        <f>IFERROR(E125*H125*IF(공사범위!$E$4="Y",1,0),0)</f>
        <v/>
      </c>
      <c r="P125" s="129">
        <f>IFERROR(INDEX(자재마스터!$D:$D,MATCH("aircon|"&amp;우리집!$B$74,자재마스터!$Z:$Z,0)),"")</f>
        <v/>
      </c>
    </row>
    <row r="126" ht="15" customHeight="1" s="95">
      <c r="A126" s="114" t="inlineStr">
        <is>
          <t>76-1</t>
        </is>
      </c>
      <c r="B126" s="114" t="inlineStr">
        <is>
          <t>작은방2</t>
        </is>
      </c>
      <c r="C126" s="114" t="inlineStr">
        <is>
          <t>시스템에어컨 (보강)</t>
        </is>
      </c>
      <c r="D126" s="111">
        <f>IFERROR(INDEX(자재마스터!$J:$J,MATCH("aircon|"&amp;우리집!$B$74,자재마스터!$Z:$Z,0)),"-")</f>
        <v/>
      </c>
      <c r="E126" s="114" t="n">
        <v>1</v>
      </c>
      <c r="F126" s="114">
        <f>우리집!$B$74</f>
        <v/>
      </c>
      <c r="G126" s="111">
        <f>IFERROR((INDEX(자재마스터!$F:$F, MATCH("aircon|"&amp;우리집!$B$74,자재마스터!$Z:$Z,0)) &amp; " " &amp; INDEX(자재마스터!$G:$G, MATCH("aircon|"&amp;우리집!$B$74,자재마스터!$Z:$Z,0)))&amp;" (작은방2)","매칭없음")</f>
        <v/>
      </c>
      <c r="H126" s="161">
        <f>IFERROR(INDEX(자재마스터!$M:$M,MATCH("aircon|"&amp;우리집!$B$74,자재마스터!$Z:$Z,0)),0)</f>
        <v/>
      </c>
      <c r="I126" s="111">
        <f>IFERROR(E126*H126*IF(공사범위!$E$7="Y",1,0),0)</f>
        <v/>
      </c>
      <c r="P126" s="129">
        <f>IFERROR(INDEX(자재마스터!$D:$D,MATCH("aircon|"&amp;우리집!$B$74,자재마스터!$Z:$Z,0)),"")</f>
        <v/>
      </c>
    </row>
    <row r="127" ht="15" customHeight="1" s="95">
      <c r="A127" s="118" t="inlineStr">
        <is>
          <t>77-x</t>
        </is>
      </c>
      <c r="B127" s="118" t="inlineStr">
        <is>
          <t>주방</t>
        </is>
      </c>
      <c r="C127" s="118" t="inlineStr">
        <is>
          <t>실링팬 (보강)</t>
        </is>
      </c>
      <c r="D127" s="129">
        <f>IFERROR(INDEX(자재마스터!$J:$J,MATCH("ceiling_fan|"&amp;우리집!$B$76,자재마스터!$Z:$Z,0)),"-")</f>
        <v/>
      </c>
      <c r="E127" s="118" t="n">
        <v>1</v>
      </c>
      <c r="F127" s="118">
        <f>우리집!$B$76</f>
        <v/>
      </c>
      <c r="G127" s="129">
        <f>IFERROR((INDEX(자재마스터!$F:$F, MATCH("ceiling_fan|"&amp;우리집!$B$76,자재마스터!$Z:$Z,0)) &amp; " " &amp; INDEX(자재마스터!$G:$G, MATCH("ceiling_fan|"&amp;우리집!$B$76,자재마스터!$Z:$Z,0)))&amp;" (주방)","매칭없음")</f>
        <v/>
      </c>
      <c r="H127" s="168">
        <f>IFERROR(INDEX(자재마스터!$M:$M,MATCH("ceiling_fan|"&amp;우리집!$B$76,자재마스터!$Z:$Z,0)),0)</f>
        <v/>
      </c>
      <c r="I127" s="129">
        <f>IFERROR(E127*H127*IF(공사범위!$G$4="Y",1,0),0)</f>
        <v/>
      </c>
      <c r="P127" s="129">
        <f>IFERROR(INDEX(자재마스터!$D:$D,MATCH("ceiling_fan|"&amp;우리집!$B$76,자재마스터!$Z:$Z,0)),"")</f>
        <v/>
      </c>
    </row>
    <row r="128" ht="15" customHeight="1" s="95">
      <c r="A128" s="118" t="inlineStr">
        <is>
          <t>77-x</t>
        </is>
      </c>
      <c r="B128" s="118" t="inlineStr">
        <is>
          <t>작은방1</t>
        </is>
      </c>
      <c r="C128" s="118" t="inlineStr">
        <is>
          <t>실링팬 (보강)</t>
        </is>
      </c>
      <c r="D128" s="129">
        <f>IFERROR(INDEX(자재마스터!$J:$J,MATCH("ceiling_fan|"&amp;우리집!$B$76,자재마스터!$Z:$Z,0)),"-")</f>
        <v/>
      </c>
      <c r="E128" s="118" t="n">
        <v>1</v>
      </c>
      <c r="F128" s="118">
        <f>우리집!$B$76</f>
        <v/>
      </c>
      <c r="G128" s="129">
        <f>IFERROR((INDEX(자재마스터!$F:$F, MATCH("ceiling_fan|"&amp;우리집!$B$76,자재마스터!$Z:$Z,0)) &amp; " " &amp; INDEX(자재마스터!$G:$G, MATCH("ceiling_fan|"&amp;우리집!$B$76,자재마스터!$Z:$Z,0)))&amp;" (작은방1)","매칭없음")</f>
        <v/>
      </c>
      <c r="H128" s="168">
        <f>IFERROR(INDEX(자재마스터!$M:$M,MATCH("ceiling_fan|"&amp;우리집!$B$76,자재마스터!$Z:$Z,0)),0)</f>
        <v/>
      </c>
      <c r="I128" s="129">
        <f>IFERROR(E128*H128*IF(공사범위!$G$6="Y",1,0),0)</f>
        <v/>
      </c>
      <c r="P128" s="129">
        <f>IFERROR(INDEX(자재마스터!$D:$D,MATCH("ceiling_fan|"&amp;우리집!$B$76,자재마스터!$Z:$Z,0)),"")</f>
        <v/>
      </c>
    </row>
    <row r="129" ht="15" customHeight="1" s="95">
      <c r="A129" s="118" t="inlineStr">
        <is>
          <t>77-x</t>
        </is>
      </c>
      <c r="B129" s="118" t="inlineStr">
        <is>
          <t>작은방2</t>
        </is>
      </c>
      <c r="C129" s="118" t="inlineStr">
        <is>
          <t>실링팬 (보강)</t>
        </is>
      </c>
      <c r="D129" s="129">
        <f>IFERROR(INDEX(자재마스터!$J:$J,MATCH("ceiling_fan|"&amp;우리집!$B$76,자재마스터!$Z:$Z,0)),"-")</f>
        <v/>
      </c>
      <c r="E129" s="118" t="n">
        <v>1</v>
      </c>
      <c r="F129" s="118">
        <f>우리집!$B$76</f>
        <v/>
      </c>
      <c r="G129" s="129">
        <f>IFERROR((INDEX(자재마스터!$F:$F, MATCH("ceiling_fan|"&amp;우리집!$B$76,자재마스터!$Z:$Z,0)) &amp; " " &amp; INDEX(자재마스터!$G:$G, MATCH("ceiling_fan|"&amp;우리집!$B$76,자재마스터!$Z:$Z,0)))&amp;" (작은방2)","매칭없음")</f>
        <v/>
      </c>
      <c r="H129" s="168">
        <f>IFERROR(INDEX(자재마스터!$M:$M,MATCH("ceiling_fan|"&amp;우리집!$B$76,자재마스터!$Z:$Z,0)),0)</f>
        <v/>
      </c>
      <c r="I129" s="129">
        <f>IFERROR(E129*H129*IF(공사범위!$G$7="Y",1,0),0)</f>
        <v/>
      </c>
      <c r="P129" s="129">
        <f>IFERROR(INDEX(자재마스터!$D:$D,MATCH("ceiling_fan|"&amp;우리집!$B$76,자재마스터!$Z:$Z,0)),"")</f>
        <v/>
      </c>
    </row>
    <row r="130" ht="15" customHeight="1" s="95">
      <c r="A130" s="116" t="inlineStr">
        <is>
          <t>59-x</t>
        </is>
      </c>
      <c r="B130" s="116" t="inlineStr">
        <is>
          <t>거실</t>
        </is>
      </c>
      <c r="C130" s="116" t="inlineStr">
        <is>
          <t>붙박이장 (보강)</t>
        </is>
      </c>
      <c r="D130" s="143">
        <f>IFERROR(INDEX(자재마스터!$J:$J,MATCH("closet|"&amp;우리집!$B$75,자재마스터!$Z:$Z,0)),"-")</f>
        <v/>
      </c>
      <c r="E130" s="116" t="n">
        <v>1</v>
      </c>
      <c r="F130" s="116">
        <f>우리집!$B$75</f>
        <v/>
      </c>
      <c r="G130" s="143">
        <f>IFERROR((INDEX(자재마스터!$F:$F, MATCH("closet|"&amp;우리집!$B$75,자재마스터!$Z:$Z,0)) &amp; " " &amp; INDEX(자재마스터!$G:$G, MATCH("closet|"&amp;우리집!$B$75,자재마스터!$Z:$Z,0)))&amp;" (거실)","매칭없음")</f>
        <v/>
      </c>
      <c r="H130" s="154">
        <f>IFERROR(INDEX(자재마스터!$M:$M,MATCH("closet|"&amp;우리집!$B$75,자재마스터!$Z:$Z,0)),0)</f>
        <v/>
      </c>
      <c r="I130" s="143">
        <f>IFERROR(E130*H130*IF(공사범위!$F$3="Y",1,0),0)</f>
        <v/>
      </c>
      <c r="P130" s="129">
        <f>IFERROR(INDEX(자재마스터!$D:$D,MATCH("closet|"&amp;우리집!$B$75,자재마스터!$Z:$Z,0)),"")</f>
        <v/>
      </c>
    </row>
    <row r="131" ht="15" customHeight="1" s="95">
      <c r="A131" s="116" t="inlineStr">
        <is>
          <t>59-x</t>
        </is>
      </c>
      <c r="B131" s="116" t="inlineStr">
        <is>
          <t>주방</t>
        </is>
      </c>
      <c r="C131" s="116" t="inlineStr">
        <is>
          <t>붙박이장 (보강)</t>
        </is>
      </c>
      <c r="D131" s="143">
        <f>IFERROR(INDEX(자재마스터!$J:$J,MATCH("closet|"&amp;우리집!$B$75,자재마스터!$Z:$Z,0)),"-")</f>
        <v/>
      </c>
      <c r="E131" s="116" t="n">
        <v>1</v>
      </c>
      <c r="F131" s="116">
        <f>우리집!$B$75</f>
        <v/>
      </c>
      <c r="G131" s="143">
        <f>IFERROR((INDEX(자재마스터!$F:$F, MATCH("closet|"&amp;우리집!$B$75,자재마스터!$Z:$Z,0)) &amp; " " &amp; INDEX(자재마스터!$G:$G, MATCH("closet|"&amp;우리집!$B$75,자재마스터!$Z:$Z,0)))&amp;" (주방)","매칭없음")</f>
        <v/>
      </c>
      <c r="H131" s="154">
        <f>IFERROR(INDEX(자재마스터!$M:$M,MATCH("closet|"&amp;우리집!$B$75,자재마스터!$Z:$Z,0)),0)</f>
        <v/>
      </c>
      <c r="I131" s="143">
        <f>IFERROR(E131*H131*IF(공사범위!$F$4="Y",1,0),0)</f>
        <v/>
      </c>
      <c r="P131" s="129">
        <f>IFERROR(INDEX(자재마스터!$D:$D,MATCH("closet|"&amp;우리집!$B$75,자재마스터!$Z:$Z,0)),"")</f>
        <v/>
      </c>
    </row>
    <row r="140" ht="15" customHeight="1" s="95">
      <c r="A140" s="118" t="n">
        <v>95</v>
      </c>
      <c r="B140" s="118" t="inlineStr">
        <is>
          <t>전체</t>
        </is>
      </c>
      <c r="C140" s="118" t="inlineStr">
        <is>
          <t>엘리베이터 보양</t>
        </is>
      </c>
      <c r="D140" s="129">
        <f>IFERROR(INDEX(자재마스터!$J:$J,MATCH("엘리베이터 보양|단일등급",자재마스터!$AA:$AA,0)),"-")</f>
        <v/>
      </c>
      <c r="E140" s="118" t="n">
        <v>1</v>
      </c>
      <c r="F140" s="118" t="inlineStr">
        <is>
          <t>단일등급</t>
        </is>
      </c>
      <c r="G140" s="129">
        <f>IFERROR((INDEX(자재마스터!$F:$F, MATCH("엘리베이터 보양|단일등급",자재마스터!$AA:$AA,0)) &amp; " " &amp; INDEX(자재마스터!$G:$G, MATCH("엘리베이터 보양|단일등급",자재마스터!$AA:$AA,0))),"매칭없음")</f>
        <v/>
      </c>
      <c r="H140" s="129">
        <f>IFERROR(INDEX(자재마스터!$M:$M,MATCH("엘리베이터 보양|단일등급",자재마스터!$AA:$AA,0)),0)</f>
        <v/>
      </c>
      <c r="I140" s="118">
        <f>IFERROR(E140*H140,0)</f>
        <v/>
      </c>
      <c r="P140" s="129">
        <f>IFERROR(INDEX(자재마스터!$D:$D,MATCH("엘리베이터 보양|단일등급",자재마스터!$AA:$AA,0)),"")</f>
        <v/>
      </c>
    </row>
    <row r="141" ht="15" customHeight="1" s="95">
      <c r="A141" s="118" t="n">
        <v>96</v>
      </c>
      <c r="B141" s="118" t="inlineStr">
        <is>
          <t>전체</t>
        </is>
      </c>
      <c r="C141" s="118" t="inlineStr">
        <is>
          <t>주민 동의서 징구</t>
        </is>
      </c>
      <c r="D141" s="129">
        <f>IFERROR(INDEX(자재마스터!$J:$J,MATCH("주민동의서 징구|단일등급",자재마스터!$AA:$AA,0)),"-")</f>
        <v/>
      </c>
      <c r="E141" s="118" t="n">
        <v>1</v>
      </c>
      <c r="F141" s="118" t="inlineStr">
        <is>
          <t>단일등급</t>
        </is>
      </c>
      <c r="G141" s="129">
        <f>IFERROR((INDEX(자재마스터!$F:$F, MATCH("주민동의서 징구|단일등급",자재마스터!$AA:$AA,0)) &amp; " " &amp; INDEX(자재마스터!$G:$G, MATCH("주민동의서 징구|단일등급",자재마스터!$AA:$AA,0))),"매칭없음")</f>
        <v/>
      </c>
      <c r="H141" s="129">
        <f>IFERROR(INDEX(자재마스터!$M:$M,MATCH("주민동의서 징구|단일등급",자재마스터!$AA:$AA,0)),0)</f>
        <v/>
      </c>
      <c r="I141" s="118">
        <f>IFERROR(E141*H141,0)</f>
        <v/>
      </c>
      <c r="P141" s="129">
        <f>IFERROR(INDEX(자재마스터!$D:$D,MATCH("주민동의서 징구|단일등급",자재마스터!$AA:$AA,0)),"")</f>
        <v/>
      </c>
    </row>
    <row r="142" ht="15" customHeight="1" s="95">
      <c r="A142" s="118" t="n">
        <v>97</v>
      </c>
      <c r="B142" s="118" t="inlineStr">
        <is>
          <t>전체</t>
        </is>
      </c>
      <c r="C142" s="118" t="inlineStr">
        <is>
          <t>준공청소</t>
        </is>
      </c>
      <c r="D142" s="129">
        <f>IFERROR(INDEX(자재마스터!$J:$J,MATCH("준공청소|단일등급",자재마스터!$AA:$AA,0)),"-")</f>
        <v/>
      </c>
      <c r="E142" s="118">
        <f>우리집!$B$8</f>
        <v/>
      </c>
      <c r="F142" s="118" t="inlineStr">
        <is>
          <t>단일등급</t>
        </is>
      </c>
      <c r="G142" s="129">
        <f>IFERROR((INDEX(자재마스터!$F:$F, MATCH("준공청소|단일등급",자재마스터!$AA:$AA,0)) &amp; " " &amp; INDEX(자재마스터!$G:$G, MATCH("준공청소|단일등급",자재마스터!$AA:$AA,0))),"매칭없음")</f>
        <v/>
      </c>
      <c r="H142" s="129">
        <f>IFERROR(INDEX(자재마스터!$M:$M,MATCH("준공청소|단일등급",자재마스터!$AA:$AA,0)),0)</f>
        <v/>
      </c>
      <c r="I142" s="118">
        <f>IFERROR(E142*H142,0)</f>
        <v/>
      </c>
      <c r="P142" s="129">
        <f>IFERROR(INDEX(자재마스터!$D:$D,MATCH("준공청소|단일등급",자재마스터!$AA:$AA,0)),"")</f>
        <v/>
      </c>
    </row>
    <row r="143" ht="15" customHeight="1" s="95">
      <c r="C143" s="172" t="inlineStr">
        <is>
          <t>━ 기타 공종 추가 소계</t>
        </is>
      </c>
      <c r="I143" s="118">
        <f>SUM(I140:I142)</f>
        <v/>
      </c>
    </row>
    <row r="144" ht="15" customHeight="1" s="95">
      <c r="A144" s="118" t="n">
        <v>98</v>
      </c>
      <c r="B144" s="118" t="inlineStr">
        <is>
          <t>거실/안방경계</t>
        </is>
      </c>
      <c r="C144" s="118" t="inlineStr">
        <is>
          <t>터닝도어</t>
        </is>
      </c>
      <c r="D144" s="129">
        <f>IFERROR(INDEX(자재마스터!$J:$J,MATCH("터닝도어|"&amp;우리집!$B$73,자재마스터!$AA:$AA,0)),"-")</f>
        <v/>
      </c>
      <c r="E144" s="118" t="n">
        <v>1</v>
      </c>
      <c r="F144" s="118">
        <f>우리집!$B$73</f>
        <v/>
      </c>
      <c r="G144" s="129">
        <f>IFERROR((INDEX(자재마스터!$F:$F, MATCH("터닝도어|"&amp;우리집!$B$73,자재마스터!$AA:$AA,0)) &amp; " " &amp; INDEX(자재마스터!$G:$G, MATCH("터닝도어|"&amp;우리집!$B$73,자재마스터!$AA:$AA,0))),"매칭없음")</f>
        <v/>
      </c>
      <c r="H144" s="129">
        <f>IFERROR(INDEX(자재마스터!$M:$M,MATCH("터닝도어|"&amp;우리집!$B$73,자재마스터!$AA:$AA,0)),0)</f>
        <v/>
      </c>
      <c r="I144" s="129">
        <f>IFERROR(E144*H144*IF(우리집!$B$50="Y",1,0),0)</f>
        <v/>
      </c>
      <c r="P144" s="129">
        <f>IFERROR(INDEX(자재마스터!$D:$D,MATCH("터닝도어|"&amp;우리집!$B$73,자재마스터!$AA:$AA,0)),"")</f>
        <v/>
      </c>
    </row>
    <row r="145" ht="15" customHeight="1" s="95">
      <c r="C145" s="172" t="inlineStr">
        <is>
          <t>━ 터닝도어 소계</t>
        </is>
      </c>
      <c r="I145" s="118">
        <f>I144</f>
        <v/>
      </c>
    </row>
    <row r="146" ht="15" customHeight="1" s="95">
      <c r="A146" s="118" t="n">
        <v>99</v>
      </c>
      <c r="B146" s="118" t="inlineStr">
        <is>
          <t>전체</t>
        </is>
      </c>
      <c r="C146" s="118" t="inlineStr">
        <is>
          <t>문틀/문짝</t>
        </is>
      </c>
      <c r="D146" s="129">
        <f>IFERROR(INDEX(자재마스터!$J:$J,MATCH(IF(우리집!$B$56="문짝만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교체|"&amp;우리집!$E$56,""))),자재마스터!$AA:$AA,0)),"-")</f>
        <v/>
      </c>
      <c r="E146" s="118">
        <f>우리집!$B$57</f>
        <v/>
      </c>
      <c r="F146" s="129">
        <f>우리집!$B$56&amp;IF(우리집!$B$56="문틀과 문짝 모두 새로 시공"," ["&amp;우리집!$E$56&amp;"]","")</f>
        <v/>
      </c>
      <c r="G146" s="129">
        <f>IF(우리집!$B$56="그대로 사용","그대로 사용 (산정 없음)",IFERROR((INDEX(자재마스터!$F:$F,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 &amp; " " &amp; INDEX(자재마스터!$G:$G,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교체|"&amp;우리집!$E$56,""))),자재마스터!$AA:$AA,0))),"매칭없음"))</f>
        <v/>
      </c>
      <c r="H146" s="129">
        <f>IFERROR(INDEX(자재마스터!$M:$M,MATCH(IF(우리집!$B$56="문짝만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교체|"&amp;우리집!$E$56,""))),자재마스터!$AA:$AA,0)),0)</f>
        <v/>
      </c>
      <c r="I146" s="129">
        <f>IFERROR(E146*H146*IF(우리집!$B$56="그대로 사용",0,1),0)</f>
        <v/>
      </c>
      <c r="P146" s="129">
        <f>IFERROR(INDEX(자재마스터!$D:$D,MATCH(IF(우리집!$B$56="문짝만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교체|"&amp;우리집!$E$56,""))),자재마스터!$AA:$AA,0)),"")</f>
        <v/>
      </c>
    </row>
    <row r="147" ht="15.65" customHeight="1" s="95">
      <c r="C147" s="172" t="inlineStr">
        <is>
          <t>━ 문틀/문짝 소계</t>
        </is>
      </c>
      <c r="I147" s="118">
        <f>I146</f>
        <v/>
      </c>
    </row>
    <row r="148" ht="15" customHeight="1" s="95">
      <c r="A148" s="118" t="n">
        <v>100</v>
      </c>
      <c r="B148" s="118" t="inlineStr">
        <is>
          <t>가벽</t>
        </is>
      </c>
      <c r="C148" s="118" t="inlineStr">
        <is>
          <t>가벽 도배 (양면)</t>
        </is>
      </c>
      <c r="D148" s="129">
        <f>IFERROR(INDEX(자재마스터!$J:$J,MATCH("wallpaper|"&amp;우리집!$B$65,자재마스터!$Z:$Z,0)),"-")</f>
        <v/>
      </c>
      <c r="E148" s="129">
        <f>IFERROR(IF(ISNUMBER(우리집!$B$41),우리집!$B$41*2.3*2,0),0)</f>
        <v/>
      </c>
      <c r="F148" s="118">
        <f>우리집!$B$65</f>
        <v/>
      </c>
      <c r="G148" s="129">
        <f>IFERROR((INDEX(자재마스터!$F:$F, MATCH("wallpaper|"&amp;우리집!$B$65,자재마스터!$Z:$Z,0)) &amp; " " &amp; INDEX(자재마스터!$G:$G, MATCH("wallpaper|"&amp;우리집!$B$65,자재마스터!$Z:$Z,0)))&amp;" (가벽 양면)","매칭없음")</f>
        <v/>
      </c>
      <c r="H148" s="168">
        <f>IFERROR(INDEX(자재마스터!$M:$M,MATCH("wallpaper|"&amp;우리집!$B$65,자재마스터!$Z:$Z,0)),0)</f>
        <v/>
      </c>
      <c r="I148" s="129">
        <f>IFERROR(E148*H148*IF(IFERROR(IF(ISNUMBER(우리집!$B$41),우리집!$B$41,0),0)&gt;0,1,0),0)</f>
        <v/>
      </c>
      <c r="P148" s="129">
        <f>IFERROR(INDEX(자재마스터!$D:$D,MATCH("wallpaper|"&amp;우리집!$B$65,자재마스터!$Z:$Z,0)),"")</f>
        <v/>
      </c>
    </row>
    <row r="149" ht="15" customHeight="1" s="95">
      <c r="C149" s="172" t="inlineStr">
        <is>
          <t>━ 가벽 도배 소계</t>
        </is>
      </c>
      <c r="I149" s="118">
        <f>I148</f>
        <v/>
      </c>
    </row>
    <row r="150" ht="16.15" customHeight="1" s="95">
      <c r="A150" s="118" t="n">
        <v>101</v>
      </c>
      <c r="B150" s="118" t="inlineStr">
        <is>
          <t>전체</t>
        </is>
      </c>
      <c r="C150" s="118" t="inlineStr">
        <is>
          <t>무문선 목공 추가비</t>
        </is>
      </c>
      <c r="D150" s="129">
        <f>IFERROR(INDEX(자재마스터!$J:$J,MATCH("무문선 목공 추가비|단일등급",자재마스터!$AA:$AA,0)),"-")</f>
        <v/>
      </c>
      <c r="E150" s="118">
        <f>우리집!$B$57</f>
        <v/>
      </c>
      <c r="F150" s="118">
        <f>"단일등급 (무문선)"</f>
        <v/>
      </c>
      <c r="G150" s="129">
        <f>IFERROR((INDEX(자재마스터!$F:$F, MATCH("무문선 목공 추가비|단일등급",자재마스터!$AA:$AA,0)) &amp; " " &amp; INDEX(자재마스터!$G:$G, MATCH("무문선 목공 추가비|단일등급",자재마스터!$AA:$AA,0))),"매칭없음")</f>
        <v/>
      </c>
      <c r="H150" s="129">
        <f>IFERROR(INDEX(자재마스터!$M:$M,MATCH("무문선 목공 추가비|단일등급",자재마스터!$AA:$AA,0)),0)</f>
        <v/>
      </c>
      <c r="I150" s="129">
        <f>IFERROR(E150*H150*IF(AND(우리집!$B$56="문틀과 문짝 모두 새로 시공",우리집!$E$56="고급"),1,0),0)</f>
        <v/>
      </c>
      <c r="K150" s="96" t="inlineStr">
        <is>
          <t>▣ 대분류별 합계</t>
        </is>
      </c>
      <c r="P150" s="129">
        <f>IFERROR(INDEX(자재마스터!$D:$D,MATCH("무문선 목공 추가비|단일등급",자재마스터!$AA:$AA,0)),"")</f>
        <v/>
      </c>
    </row>
    <row r="151" ht="15" customHeight="1" s="95">
      <c r="C151" s="172" t="inlineStr">
        <is>
          <t>━ 무문선 목공 소계</t>
        </is>
      </c>
      <c r="I151" s="118">
        <f>I150</f>
        <v/>
      </c>
      <c r="K151" s="118" t="inlineStr">
        <is>
          <t>대분류</t>
        </is>
      </c>
      <c r="L151" s="118" t="inlineStr">
        <is>
          <t>합계 (원)</t>
        </is>
      </c>
    </row>
    <row r="152" ht="15" customHeight="1" s="95">
      <c r="A152" s="118" t="n">
        <v>102</v>
      </c>
      <c r="B152" s="118" t="inlineStr">
        <is>
          <t>전체</t>
        </is>
      </c>
      <c r="C152" s="118" t="inlineStr">
        <is>
          <t>무문선 도배 추가비</t>
        </is>
      </c>
      <c r="D152" s="129">
        <f>IFERROR(INDEX(자재마스터!$J:$J,MATCH("무문선 도배 추가비|단일등급",자재마스터!$AA:$AA,0)),"-")</f>
        <v/>
      </c>
      <c r="E152" s="118">
        <f>우리집!$B$57</f>
        <v/>
      </c>
      <c r="F152" s="118">
        <f>"단일등급 (무문선)"</f>
        <v/>
      </c>
      <c r="G152" s="129">
        <f>IFERROR((INDEX(자재마스터!$F:$F, MATCH("무문선 도배 추가비|단일등급",자재마스터!$AA:$AA,0)) &amp; " " &amp; INDEX(자재마스터!$G:$G, MATCH("무문선 도배 추가비|단일등급",자재마스터!$AA:$AA,0))),"매칭없음")</f>
        <v/>
      </c>
      <c r="H152" s="129">
        <f>IFERROR(INDEX(자재마스터!$M:$M,MATCH("무문선 도배 추가비|단일등급",자재마스터!$AA:$AA,0)),0)</f>
        <v/>
      </c>
      <c r="I152" s="129">
        <f>IFERROR(E152*H152*IF(AND(우리집!$B$56="문틀과 문짝 모두 새로 시공",우리집!$E$56="고급"),1,0),0)</f>
        <v/>
      </c>
      <c r="K152" s="118" t="inlineStr">
        <is>
          <t>전기</t>
        </is>
      </c>
      <c r="L152" s="129">
        <f>SUMIF($P$9:$P$160,"전기",$I$9:$I$160)</f>
        <v/>
      </c>
      <c r="P152" s="129">
        <f>IFERROR(INDEX(자재마스터!$D:$D,MATCH("무문선 도배 추가비|단일등급",자재마스터!$AA:$AA,0)),"")</f>
        <v/>
      </c>
    </row>
    <row r="153" ht="15" customHeight="1" s="95">
      <c r="C153" s="172" t="inlineStr">
        <is>
          <t>━ 무문선 도배 소계</t>
        </is>
      </c>
      <c r="I153" s="118">
        <f>I152</f>
        <v/>
      </c>
      <c r="K153" s="118" t="inlineStr">
        <is>
          <t>타일</t>
        </is>
      </c>
      <c r="L153" s="129">
        <f>SUMIF($P$9:$P$160,"타일",$I$9:$I$160)</f>
        <v/>
      </c>
    </row>
    <row r="154" ht="15" customHeight="1" s="95">
      <c r="A154" s="94" t="n">
        <v>103</v>
      </c>
      <c r="B154" s="94" t="inlineStr">
        <is>
          <t>전체</t>
        </is>
      </c>
      <c r="C154" s="94" t="inlineStr">
        <is>
          <t>난방배관 교체</t>
        </is>
      </c>
      <c r="D154" s="94">
        <f>IFERROR(INDEX(자재마스터!$J:$J,MATCH("난방배관 교체|단일등급",자재마스터!$AA:$AA,0)),"-")</f>
        <v/>
      </c>
      <c r="E154" s="94">
        <f>우리집!$B$8</f>
        <v/>
      </c>
      <c r="F154" s="94">
        <f>"단일등급"</f>
        <v/>
      </c>
      <c r="G154" s="94">
        <f>IFERROR((INDEX(자재마스터!$F:$F, MATCH("난방배관 교체|단일등급",자재마스터!$AA:$AA,0)) &amp; " " &amp; INDEX(자재마스터!$G:$G, MATCH("난방배관 교체|단일등급",자재마스터!$AA:$AA,0))),"매칭없음")</f>
        <v/>
      </c>
      <c r="H154" s="94">
        <f>IFERROR(INDEX(자재마스터!$M:$M,MATCH("난방배관 교체|단일등급",자재마스터!$AA:$AA,0)),0)</f>
        <v/>
      </c>
      <c r="I154" s="94">
        <f>IFERROR(E154*H154*IF(우리집!$B$31="Y",1,0),0)</f>
        <v/>
      </c>
      <c r="K154" s="118" t="inlineStr">
        <is>
          <t>욕실</t>
        </is>
      </c>
      <c r="L154" s="129">
        <f>SUMIF($P$9:$P$160,"욕실",$I$9:$I$160)</f>
        <v/>
      </c>
      <c r="P154" s="94">
        <f>IFERROR(INDEX(자재마스터!$D:$D,MATCH("난방배관 교체|단일등급",자재마스터!$AA:$AA,0)),"")</f>
        <v/>
      </c>
    </row>
    <row r="155" ht="15" customHeight="1" s="95">
      <c r="C155" s="94" t="inlineStr">
        <is>
          <t>━ 난방배관 교체 소계</t>
        </is>
      </c>
      <c r="I155" s="94">
        <f>I154</f>
        <v/>
      </c>
      <c r="K155" s="118" t="inlineStr">
        <is>
          <t>주방가구</t>
        </is>
      </c>
      <c r="L155" s="129">
        <f>SUMIF($P$9:$P$160,"주방가구",$I$9:$I$160)</f>
        <v/>
      </c>
    </row>
    <row r="156" ht="15" customHeight="1" s="95">
      <c r="K156" s="118" t="inlineStr">
        <is>
          <t>목공사</t>
        </is>
      </c>
      <c r="L156" s="129">
        <f>SUMIF($P$9:$P$160,"목공사",$I$9:$I$160)</f>
        <v/>
      </c>
    </row>
    <row r="157" ht="15" customHeight="1" s="95">
      <c r="K157" s="118" t="inlineStr">
        <is>
          <t>마루</t>
        </is>
      </c>
      <c r="L157" s="129">
        <f>SUMIF($P$9:$P$160,"마루",$I$9:$I$160)</f>
        <v/>
      </c>
    </row>
    <row r="158" ht="15" customHeight="1" s="95">
      <c r="K158" s="118" t="inlineStr">
        <is>
          <t>도배</t>
        </is>
      </c>
      <c r="L158" s="129">
        <f>SUMIF($P$9:$P$160,"도배",$I$9:$I$160)</f>
        <v/>
      </c>
    </row>
    <row r="159" ht="15" customHeight="1" s="95">
      <c r="K159" s="118" t="inlineStr">
        <is>
          <t>설비</t>
        </is>
      </c>
      <c r="L159" s="129">
        <f>SUMIF($P$9:$P$160,"설비",$I$9:$I$160)</f>
        <v/>
      </c>
    </row>
    <row r="160" ht="15" customHeight="1" s="95">
      <c r="K160" s="118" t="inlineStr">
        <is>
          <t>몰딩</t>
        </is>
      </c>
      <c r="L160" s="129">
        <f>SUMIF($P$9:$P$160,"몰딩",$I$9:$I$160)</f>
        <v/>
      </c>
    </row>
    <row r="161" ht="15" customHeight="1" s="95">
      <c r="K161" s="118" t="inlineStr">
        <is>
          <t>실리콘</t>
        </is>
      </c>
      <c r="L161" s="129">
        <f>SUMIF($P$9:$P$160,"실리콘",$I$9:$I$160)</f>
        <v/>
      </c>
    </row>
    <row r="162" ht="15" customHeight="1" s="95">
      <c r="K162" s="118" t="inlineStr">
        <is>
          <t>일반가구</t>
        </is>
      </c>
      <c r="L162" s="129">
        <f>SUMIF($P$9:$P$160,"일반가구",$I$9:$I$160)</f>
        <v/>
      </c>
    </row>
    <row r="163" ht="15" customHeight="1" s="95">
      <c r="K163" s="118" t="inlineStr">
        <is>
          <t>창호</t>
        </is>
      </c>
      <c r="L163" s="129">
        <f>SUMIF($P$9:$P$160,"창호",$I$9:$I$160)</f>
        <v/>
      </c>
    </row>
    <row r="164" ht="15" customHeight="1" s="95">
      <c r="K164" s="118" t="inlineStr">
        <is>
          <t>에어컨</t>
        </is>
      </c>
      <c r="L164" s="129">
        <f>SUMIF($P$9:$P$160,"에어컨",$I$9:$I$160)</f>
        <v/>
      </c>
    </row>
    <row r="165" ht="15" customHeight="1" s="95">
      <c r="K165" s="118" t="inlineStr">
        <is>
          <t>확장</t>
        </is>
      </c>
      <c r="L165" s="129">
        <f>SUMIF($P$9:$P$160,"확장",$I$9:$I$160)</f>
        <v/>
      </c>
    </row>
    <row r="166" ht="15" customHeight="1" s="95">
      <c r="K166" s="118" t="inlineStr">
        <is>
          <t>중문</t>
        </is>
      </c>
      <c r="L166" s="129">
        <f>SUMIF($P$9:$P$160,"중문",$I$9:$I$160)</f>
        <v/>
      </c>
    </row>
    <row r="167" ht="15" customHeight="1" s="95">
      <c r="K167" s="118" t="inlineStr">
        <is>
          <t>도장</t>
        </is>
      </c>
      <c r="L167" s="129">
        <f>SUMIF($P$9:$P$160,"도장",$I$9:$I$160)</f>
        <v/>
      </c>
    </row>
    <row r="168" ht="15" customHeight="1" s="95">
      <c r="K168" s="118" t="inlineStr">
        <is>
          <t>조적/방수</t>
        </is>
      </c>
      <c r="L168" s="129">
        <f>SUMIF($P$9:$P$160,"조적/방수",$I$9:$I$160)</f>
        <v/>
      </c>
    </row>
    <row r="169" ht="15" customHeight="1" s="95">
      <c r="K169" s="118" t="inlineStr">
        <is>
          <t>걸레받이</t>
        </is>
      </c>
      <c r="L169" s="129">
        <f>SUMIF($P$9:$P$160,"걸레받이",$I$9:$I$160)</f>
        <v/>
      </c>
    </row>
    <row r="170" ht="15" customHeight="1" s="95">
      <c r="K170" s="118" t="inlineStr">
        <is>
          <t>실링팬</t>
        </is>
      </c>
      <c r="L170" s="129">
        <f>SUMIF($P$9:$P$160,"실링팬",$I$9:$I$160)</f>
        <v/>
      </c>
    </row>
    <row r="171" ht="15" customHeight="1" s="95">
      <c r="K171" s="118" t="inlineStr">
        <is>
          <t>철거</t>
        </is>
      </c>
      <c r="L171" s="129">
        <f>SUMIF($P$9:$P$160,"철거",$I$9:$I$160)</f>
        <v/>
      </c>
    </row>
    <row r="172" ht="15" customHeight="1" s="95">
      <c r="K172" s="118" t="inlineStr">
        <is>
          <t>단열</t>
        </is>
      </c>
      <c r="L172" s="129">
        <f>SUMIF($P$9:$P$160,"단열",$I$9:$I$160)</f>
        <v/>
      </c>
    </row>
    <row r="173" ht="15" customHeight="1" s="95">
      <c r="K173" s="118" t="inlineStr">
        <is>
          <t>기타</t>
        </is>
      </c>
      <c r="L173" s="129">
        <f>SUMIF($P$9:$P$160,"기타",$I$9:$I$160)</f>
        <v/>
      </c>
    </row>
    <row r="174" ht="15" customHeight="1" s="95">
      <c r="K174" s="118" t="inlineStr">
        <is>
          <t>필름</t>
        </is>
      </c>
      <c r="L174" s="129">
        <f>SUMIF($P$9:$P$160,"필름",$I$9:$I$160)</f>
        <v/>
      </c>
    </row>
    <row r="175" ht="15" customHeight="1" s="95">
      <c r="K175" s="118" t="inlineStr">
        <is>
          <t>도어</t>
        </is>
      </c>
      <c r="L175" s="129">
        <f>SUMIF($P$9:$P$160,"도어",$I$9:$I$160)</f>
        <v/>
      </c>
    </row>
    <row r="176" ht="15" customHeight="1" s="95">
      <c r="K176" s="118" t="inlineStr">
        <is>
          <t>유리</t>
        </is>
      </c>
      <c r="L176" s="129">
        <f>SUMIF($P$9:$P$160,"유리",$I$9:$I$160)</f>
        <v/>
      </c>
    </row>
    <row r="177" ht="16.15" customHeight="1" s="95">
      <c r="K177" s="96" t="inlineStr">
        <is>
          <t>▣ 합계</t>
        </is>
      </c>
      <c r="L177" s="118">
        <f>SUM(L152:L176)</f>
        <v/>
      </c>
    </row>
    <row r="178" ht="15" customHeight="1" s="95">
      <c r="K178" s="118" t="inlineStr">
        <is>
          <t>B3 (총공사비)</t>
        </is>
      </c>
      <c r="L178" s="173">
        <f>B3</f>
        <v/>
      </c>
    </row>
    <row r="179" ht="15" customHeight="1" s="95">
      <c r="K179" s="118" t="inlineStr">
        <is>
          <t>차이 (대분류합 - B3)</t>
        </is>
      </c>
      <c r="L179" s="118">
        <f>L177-B3</f>
        <v/>
      </c>
    </row>
  </sheetData>
  <mergeCells count="5">
    <mergeCell ref="K8:L8"/>
    <mergeCell ref="B3:C3"/>
    <mergeCell ref="A1:I1"/>
    <mergeCell ref="G3:I3"/>
    <mergeCell ref="N8:O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225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K146" activeCellId="0" sqref="K146"/>
    </sheetView>
  </sheetViews>
  <sheetFormatPr baseColWidth="8" defaultColWidth="7.8359375" defaultRowHeight="15" customHeight="0" zeroHeight="0" outlineLevelRow="0"/>
  <cols>
    <col width="14.68" customWidth="1" style="94" min="1" max="1"/>
    <col width="22.02" customWidth="1" style="94" min="5" max="5"/>
    <col width="33.03" customWidth="1" style="94" min="6" max="6"/>
    <col width="14.48" customWidth="1" style="94" min="7" max="7"/>
    <col width="34.39" customWidth="1" style="94" min="8" max="8"/>
    <col width="15.18" customWidth="1" style="94" min="9" max="9"/>
    <col width="22.86" customWidth="1" style="94" min="14" max="14"/>
    <col width="11.01" customWidth="1" style="94" min="25" max="25"/>
    <col width="22.02" customWidth="1" style="94" min="26" max="27"/>
  </cols>
  <sheetData>
    <row r="1" ht="15" customHeight="1" s="95">
      <c r="A1" s="116" t="inlineStr">
        <is>
          <t>material_id</t>
        </is>
      </c>
      <c r="B1" s="116" t="inlineStr">
        <is>
          <t>status</t>
        </is>
      </c>
      <c r="C1" s="116" t="inlineStr">
        <is>
          <t>work_type</t>
        </is>
      </c>
      <c r="D1" s="118" t="inlineStr">
        <is>
          <t>category</t>
        </is>
      </c>
      <c r="E1" s="116" t="inlineStr">
        <is>
          <t>sub_category</t>
        </is>
      </c>
      <c r="F1" s="116" t="inlineStr">
        <is>
          <t>brand</t>
        </is>
      </c>
      <c r="G1" s="116" t="inlineStr">
        <is>
          <t>product_line</t>
        </is>
      </c>
      <c r="H1" s="118" t="inlineStr">
        <is>
          <t>installer_spec</t>
        </is>
      </c>
      <c r="I1" s="116" t="inlineStr">
        <is>
          <t>tags</t>
        </is>
      </c>
      <c r="J1" s="116" t="inlineStr">
        <is>
          <t>unit_type</t>
        </is>
      </c>
      <c r="K1" s="116" t="inlineStr">
        <is>
          <t>material_price</t>
        </is>
      </c>
      <c r="L1" s="116" t="inlineStr">
        <is>
          <t>labor_price</t>
        </is>
      </c>
      <c r="M1" s="116" t="inlineStr">
        <is>
          <t>total_unit_price</t>
        </is>
      </c>
      <c r="N1" s="116" t="inlineStr">
        <is>
          <t>price_source</t>
        </is>
      </c>
      <c r="O1" s="116" t="inlineStr">
        <is>
          <t>price_updated_at</t>
        </is>
      </c>
      <c r="P1" s="116" t="inlineStr">
        <is>
          <t>verified_by</t>
        </is>
      </c>
      <c r="Q1" s="116" t="inlineStr">
        <is>
          <t>image_main_url</t>
        </is>
      </c>
      <c r="R1" s="116" t="inlineStr">
        <is>
          <t>image_case1_url</t>
        </is>
      </c>
      <c r="S1" s="116" t="inlineStr">
        <is>
          <t>image_case2_url</t>
        </is>
      </c>
      <c r="T1" s="116" t="inlineStr">
        <is>
          <t>image_alt_text</t>
        </is>
      </c>
      <c r="U1" s="116" t="inlineStr">
        <is>
          <t>image_source</t>
        </is>
      </c>
      <c r="V1" s="116" t="inlineStr">
        <is>
          <t>image_license_note</t>
        </is>
      </c>
      <c r="W1" s="116" t="inlineStr">
        <is>
          <t>image_updated_at</t>
        </is>
      </c>
      <c r="X1" s="116" t="inlineStr">
        <is>
          <t>notes_internal</t>
        </is>
      </c>
      <c r="Y1" s="116" t="inlineStr">
        <is>
          <t>primary_grade</t>
        </is>
      </c>
      <c r="Z1" s="116" t="inlineStr">
        <is>
          <t>lookup_key</t>
        </is>
      </c>
      <c r="AA1" s="116" t="inlineStr">
        <is>
          <t>secondary_key</t>
        </is>
      </c>
    </row>
    <row r="2" ht="15" customHeight="1" s="95">
      <c r="A2" s="116" t="inlineStr">
        <is>
          <t>MAT-FL-001</t>
        </is>
      </c>
      <c r="B2" s="116" t="inlineStr">
        <is>
          <t>active</t>
        </is>
      </c>
      <c r="C2" s="116" t="inlineStr">
        <is>
          <t>flooring</t>
        </is>
      </c>
      <c r="D2" s="118" t="inlineStr">
        <is>
          <t>마루</t>
        </is>
      </c>
      <c r="E2" s="116" t="inlineStr">
        <is>
          <t>강마루</t>
        </is>
      </c>
      <c r="F2" s="116" t="inlineStr">
        <is>
          <t>구정마루</t>
        </is>
      </c>
      <c r="G2" s="116" t="inlineStr">
        <is>
          <t>구정강</t>
        </is>
      </c>
      <c r="H2" s="118" t="inlineStr">
        <is>
          <t>구정마루 구정강 9.4×800×7.5T</t>
        </is>
      </c>
      <c r="I2" s="116" t="inlineStr">
        <is>
          <t>가성비, 주력</t>
        </is>
      </c>
      <c r="J2" s="116" t="inlineStr">
        <is>
          <t>per_m2</t>
        </is>
      </c>
      <c r="K2" s="165" t="n">
        <v>22000</v>
      </c>
      <c r="L2" s="165" t="n">
        <v>12000</v>
      </c>
      <c r="M2" s="165">
        <f>K2+L2</f>
        <v/>
      </c>
      <c r="N2" s="116" t="inlineStr">
        <is>
          <t>시장가 추정</t>
        </is>
      </c>
      <c r="O2" s="116" t="inlineStr">
        <is>
          <t>2026-04</t>
        </is>
      </c>
      <c r="P2" s="116" t="inlineStr">
        <is>
          <t>operator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43">
        <f>LEFT(I2,FIND(",",I2&amp;",")-1)</f>
        <v/>
      </c>
      <c r="Z2" s="116">
        <f>C2&amp;"|"&amp;Y2</f>
        <v/>
      </c>
      <c r="AA2" s="116">
        <f>E2&amp;"|"&amp;Y2</f>
        <v/>
      </c>
    </row>
    <row r="3" ht="15" customHeight="1" s="95">
      <c r="A3" s="116" t="inlineStr">
        <is>
          <t>MAT-FL-002</t>
        </is>
      </c>
      <c r="B3" s="116" t="inlineStr">
        <is>
          <t>active</t>
        </is>
      </c>
      <c r="C3" s="116" t="inlineStr">
        <is>
          <t>flooring</t>
        </is>
      </c>
      <c r="D3" s="118" t="inlineStr">
        <is>
          <t>마루</t>
        </is>
      </c>
      <c r="E3" s="116" t="inlineStr">
        <is>
          <t>장판</t>
        </is>
      </c>
      <c r="F3" s="116" t="inlineStr">
        <is>
          <t>LX하우시스</t>
        </is>
      </c>
      <c r="G3" s="116" t="inlineStr">
        <is>
          <t>지인</t>
        </is>
      </c>
      <c r="H3" s="118" t="inlineStr">
        <is>
          <t>LX 지인 8.0T</t>
        </is>
      </c>
      <c r="I3" s="116" t="inlineStr">
        <is>
          <t>가성비</t>
        </is>
      </c>
      <c r="J3" s="116" t="inlineStr">
        <is>
          <t>per_m2</t>
        </is>
      </c>
      <c r="K3" s="165" t="n">
        <v>12000</v>
      </c>
      <c r="L3" s="165" t="n">
        <v>12000</v>
      </c>
      <c r="M3" s="165">
        <f>K3+L3</f>
        <v/>
      </c>
      <c r="N3" s="116" t="inlineStr">
        <is>
          <t>시장가 추정</t>
        </is>
      </c>
      <c r="O3" s="116" t="inlineStr">
        <is>
          <t>2026-04</t>
        </is>
      </c>
      <c r="P3" s="116" t="inlineStr">
        <is>
          <t>operator</t>
        </is>
      </c>
      <c r="Q3" s="174" t="n"/>
      <c r="R3" s="174" t="n"/>
      <c r="S3" s="174" t="n"/>
      <c r="T3" s="174" t="n"/>
      <c r="U3" s="174" t="n"/>
      <c r="V3" s="174" t="n"/>
      <c r="W3" s="174" t="n"/>
      <c r="X3" s="174" t="n"/>
      <c r="Y3" s="143">
        <f>LEFT(I3,FIND(",",I3&amp;",")-1)</f>
        <v/>
      </c>
      <c r="Z3" s="116">
        <f>C3&amp;"|"&amp;Y3</f>
        <v/>
      </c>
      <c r="AA3" s="116">
        <f>E3&amp;"|"&amp;Y3</f>
        <v/>
      </c>
    </row>
    <row r="4" ht="15" customHeight="1" s="95">
      <c r="A4" s="116" t="inlineStr">
        <is>
          <t>MAT-FL-003</t>
        </is>
      </c>
      <c r="B4" s="116" t="inlineStr">
        <is>
          <t>active</t>
        </is>
      </c>
      <c r="C4" s="116" t="inlineStr">
        <is>
          <t>flooring</t>
        </is>
      </c>
      <c r="D4" s="118" t="inlineStr">
        <is>
          <t>마루</t>
        </is>
      </c>
      <c r="E4" s="116" t="inlineStr">
        <is>
          <t>장판</t>
        </is>
      </c>
      <c r="F4" s="116" t="inlineStr">
        <is>
          <t>한화L&amp;C</t>
        </is>
      </c>
      <c r="G4" s="116" t="inlineStr">
        <is>
          <t>한샘프리미엄</t>
        </is>
      </c>
      <c r="H4" s="118" t="inlineStr">
        <is>
          <t>한화L&amp;C 한샘프리미엄 8.0T</t>
        </is>
      </c>
      <c r="I4" s="116" t="inlineStr">
        <is>
          <t>가성비</t>
        </is>
      </c>
      <c r="J4" s="116" t="inlineStr">
        <is>
          <t>per_m2</t>
        </is>
      </c>
      <c r="K4" s="165" t="n">
        <v>15000</v>
      </c>
      <c r="L4" s="165" t="n">
        <v>12000</v>
      </c>
      <c r="M4" s="165">
        <f>K4+L4</f>
        <v/>
      </c>
      <c r="N4" s="116" t="inlineStr">
        <is>
          <t>시장가 추정</t>
        </is>
      </c>
      <c r="O4" s="116" t="inlineStr">
        <is>
          <t>2026-04</t>
        </is>
      </c>
      <c r="P4" s="116" t="inlineStr">
        <is>
          <t>operator</t>
        </is>
      </c>
      <c r="Q4" s="174" t="n"/>
      <c r="R4" s="174" t="n"/>
      <c r="S4" s="174" t="n"/>
      <c r="T4" s="174" t="n"/>
      <c r="U4" s="174" t="n"/>
      <c r="V4" s="174" t="n"/>
      <c r="W4" s="174" t="n"/>
      <c r="X4" s="174" t="n"/>
      <c r="Y4" s="143">
        <f>LEFT(I4,FIND(",",I4&amp;",")-1)</f>
        <v/>
      </c>
      <c r="Z4" s="116">
        <f>C4&amp;"|"&amp;Y4</f>
        <v/>
      </c>
      <c r="AA4" s="116">
        <f>E4&amp;"|"&amp;Y4</f>
        <v/>
      </c>
    </row>
    <row r="5" ht="15" customHeight="1" s="95">
      <c r="A5" s="116" t="inlineStr">
        <is>
          <t>MAT-FL-004</t>
        </is>
      </c>
      <c r="B5" s="116" t="inlineStr">
        <is>
          <t>active</t>
        </is>
      </c>
      <c r="C5" s="116" t="inlineStr">
        <is>
          <t>flooring</t>
        </is>
      </c>
      <c r="D5" s="118" t="inlineStr">
        <is>
          <t>마루</t>
        </is>
      </c>
      <c r="E5" s="116" t="inlineStr">
        <is>
          <t>강화마루</t>
        </is>
      </c>
      <c r="F5" s="116" t="inlineStr">
        <is>
          <t>동화자연마루</t>
        </is>
      </c>
      <c r="G5" s="116" t="inlineStr">
        <is>
          <t>나투스진</t>
        </is>
      </c>
      <c r="H5" s="118" t="inlineStr">
        <is>
          <t>동화자연마루 나투스진 8.0T</t>
        </is>
      </c>
      <c r="I5" s="116" t="inlineStr">
        <is>
          <t>가성비</t>
        </is>
      </c>
      <c r="J5" s="116" t="inlineStr">
        <is>
          <t>per_m2</t>
        </is>
      </c>
      <c r="K5" s="165" t="n">
        <v>22000</v>
      </c>
      <c r="L5" s="165" t="n">
        <v>13000</v>
      </c>
      <c r="M5" s="165">
        <f>K5+L5</f>
        <v/>
      </c>
      <c r="N5" s="116" t="inlineStr">
        <is>
          <t>시장가 추정</t>
        </is>
      </c>
      <c r="O5" s="116" t="inlineStr">
        <is>
          <t>2026-04</t>
        </is>
      </c>
      <c r="P5" s="116" t="inlineStr">
        <is>
          <t>operator</t>
        </is>
      </c>
      <c r="Q5" s="174" t="n"/>
      <c r="R5" s="174" t="n"/>
      <c r="S5" s="174" t="n"/>
      <c r="T5" s="174" t="n"/>
      <c r="U5" s="174" t="n"/>
      <c r="V5" s="174" t="n"/>
      <c r="W5" s="174" t="n"/>
      <c r="X5" s="174" t="n"/>
      <c r="Y5" s="143">
        <f>LEFT(I5,FIND(",",I5&amp;",")-1)</f>
        <v/>
      </c>
      <c r="Z5" s="116">
        <f>C5&amp;"|"&amp;Y5</f>
        <v/>
      </c>
      <c r="AA5" s="116">
        <f>E5&amp;"|"&amp;Y5</f>
        <v/>
      </c>
    </row>
    <row r="6" ht="15" customHeight="1" s="95">
      <c r="A6" s="116" t="inlineStr">
        <is>
          <t>MAT-FL-005</t>
        </is>
      </c>
      <c r="B6" s="116" t="inlineStr">
        <is>
          <t>active</t>
        </is>
      </c>
      <c r="C6" s="116" t="inlineStr">
        <is>
          <t>flooring</t>
        </is>
      </c>
      <c r="D6" s="118" t="inlineStr">
        <is>
          <t>마루</t>
        </is>
      </c>
      <c r="E6" s="116" t="inlineStr">
        <is>
          <t>강마루</t>
        </is>
      </c>
      <c r="F6" s="116" t="inlineStr">
        <is>
          <t>구정마루</t>
        </is>
      </c>
      <c r="G6" s="116" t="inlineStr">
        <is>
          <t>그랜드텍스처165</t>
        </is>
      </c>
      <c r="H6" s="129" t="inlineStr">
        <is>
          <t>구정마루 그랜드텍스처 165 165×1200×7.5T</t>
        </is>
      </c>
      <c r="I6" s="116" t="inlineStr">
        <is>
          <t>표준, 주력</t>
        </is>
      </c>
      <c r="J6" s="116" t="inlineStr">
        <is>
          <t>per_m2</t>
        </is>
      </c>
      <c r="K6" s="165" t="n">
        <v>32000</v>
      </c>
      <c r="L6" s="165" t="n">
        <v>14000</v>
      </c>
      <c r="M6" s="165">
        <f>K6+L6</f>
        <v/>
      </c>
      <c r="N6" s="116" t="inlineStr">
        <is>
          <t>시장가 추정</t>
        </is>
      </c>
      <c r="O6" s="116" t="inlineStr">
        <is>
          <t>2026-04</t>
        </is>
      </c>
      <c r="P6" s="116" t="inlineStr">
        <is>
          <t>operator</t>
        </is>
      </c>
      <c r="Q6" s="174" t="n"/>
      <c r="R6" s="174" t="n"/>
      <c r="S6" s="174" t="n"/>
      <c r="T6" s="174" t="n"/>
      <c r="U6" s="174" t="n"/>
      <c r="V6" s="174" t="n"/>
      <c r="W6" s="174" t="n"/>
      <c r="X6" s="174" t="n"/>
      <c r="Y6" s="143">
        <f>LEFT(I6,FIND(",",I6&amp;",")-1)</f>
        <v/>
      </c>
      <c r="Z6" s="116">
        <f>C6&amp;"|"&amp;Y6</f>
        <v/>
      </c>
      <c r="AA6" s="116">
        <f>E6&amp;"|"&amp;Y6</f>
        <v/>
      </c>
    </row>
    <row r="7" ht="15" customHeight="1" s="95">
      <c r="A7" s="116" t="inlineStr">
        <is>
          <t>MAT-FL-006</t>
        </is>
      </c>
      <c r="B7" s="116" t="inlineStr">
        <is>
          <t>active</t>
        </is>
      </c>
      <c r="C7" s="116" t="inlineStr">
        <is>
          <t>flooring</t>
        </is>
      </c>
      <c r="D7" s="118" t="inlineStr">
        <is>
          <t>마루</t>
        </is>
      </c>
      <c r="E7" s="116" t="inlineStr">
        <is>
          <t>장판</t>
        </is>
      </c>
      <c r="F7" s="116" t="inlineStr">
        <is>
          <t>녹수</t>
        </is>
      </c>
      <c r="G7" s="116" t="inlineStr">
        <is>
          <t>펠리체</t>
        </is>
      </c>
      <c r="H7" s="118" t="inlineStr">
        <is>
          <t>녹수 펠리체 9.0T</t>
        </is>
      </c>
      <c r="I7" s="116" t="inlineStr">
        <is>
          <t>표준</t>
        </is>
      </c>
      <c r="J7" s="116" t="inlineStr">
        <is>
          <t>per_m2</t>
        </is>
      </c>
      <c r="K7" s="165" t="n">
        <v>22000</v>
      </c>
      <c r="L7" s="165" t="n">
        <v>14000</v>
      </c>
      <c r="M7" s="165">
        <f>K7+L7</f>
        <v/>
      </c>
      <c r="N7" s="116" t="inlineStr">
        <is>
          <t>시장가 추정</t>
        </is>
      </c>
      <c r="O7" s="116" t="inlineStr">
        <is>
          <t>2026-04</t>
        </is>
      </c>
      <c r="P7" s="116" t="inlineStr">
        <is>
          <t>operator</t>
        </is>
      </c>
      <c r="Q7" s="174" t="n"/>
      <c r="R7" s="174" t="n"/>
      <c r="S7" s="174" t="n"/>
      <c r="T7" s="174" t="n"/>
      <c r="U7" s="174" t="n"/>
      <c r="V7" s="174" t="n"/>
      <c r="W7" s="174" t="n"/>
      <c r="X7" s="174" t="n"/>
      <c r="Y7" s="143">
        <f>LEFT(I7,FIND(",",I7&amp;",")-1)</f>
        <v/>
      </c>
      <c r="Z7" s="116">
        <f>C7&amp;"|"&amp;Y7</f>
        <v/>
      </c>
      <c r="AA7" s="116">
        <f>E7&amp;"|"&amp;Y7</f>
        <v/>
      </c>
    </row>
    <row r="8" ht="15" customHeight="1" s="95">
      <c r="A8" s="116" t="inlineStr">
        <is>
          <t>MAT-FL-007</t>
        </is>
      </c>
      <c r="B8" s="116" t="inlineStr">
        <is>
          <t>active</t>
        </is>
      </c>
      <c r="C8" s="116" t="inlineStr">
        <is>
          <t>flooring</t>
        </is>
      </c>
      <c r="D8" s="118" t="inlineStr">
        <is>
          <t>마루</t>
        </is>
      </c>
      <c r="E8" s="116" t="inlineStr">
        <is>
          <t>강화마루</t>
        </is>
      </c>
      <c r="F8" s="116" t="inlineStr">
        <is>
          <t>구정마루</t>
        </is>
      </c>
      <c r="G8" s="116" t="inlineStr">
        <is>
          <t>강화시리즈</t>
        </is>
      </c>
      <c r="H8" s="118" t="inlineStr">
        <is>
          <t>구정마루 강화 12T</t>
        </is>
      </c>
      <c r="I8" s="116" t="inlineStr">
        <is>
          <t>표준</t>
        </is>
      </c>
      <c r="J8" s="116" t="inlineStr">
        <is>
          <t>per_m2</t>
        </is>
      </c>
      <c r="K8" s="165" t="n">
        <v>28000</v>
      </c>
      <c r="L8" s="165" t="n">
        <v>14000</v>
      </c>
      <c r="M8" s="165">
        <f>K8+L8</f>
        <v/>
      </c>
      <c r="N8" s="116" t="inlineStr">
        <is>
          <t>시장가 추정</t>
        </is>
      </c>
      <c r="O8" s="116" t="inlineStr">
        <is>
          <t>2026-04</t>
        </is>
      </c>
      <c r="P8" s="116" t="inlineStr">
        <is>
          <t>operator</t>
        </is>
      </c>
      <c r="Q8" s="174" t="n"/>
      <c r="R8" s="174" t="n"/>
      <c r="S8" s="174" t="n"/>
      <c r="T8" s="174" t="n"/>
      <c r="U8" s="174" t="n"/>
      <c r="V8" s="174" t="n"/>
      <c r="W8" s="174" t="n"/>
      <c r="X8" s="174" t="n"/>
      <c r="Y8" s="143">
        <f>LEFT(I8,FIND(",",I8&amp;",")-1)</f>
        <v/>
      </c>
      <c r="Z8" s="116">
        <f>C8&amp;"|"&amp;Y8</f>
        <v/>
      </c>
      <c r="AA8" s="116">
        <f>E8&amp;"|"&amp;Y8</f>
        <v/>
      </c>
    </row>
    <row r="9" ht="15" customHeight="1" s="95">
      <c r="A9" s="116" t="inlineStr">
        <is>
          <t>MAT-FL-008</t>
        </is>
      </c>
      <c r="B9" s="116" t="inlineStr">
        <is>
          <t>active</t>
        </is>
      </c>
      <c r="C9" s="116" t="inlineStr">
        <is>
          <t>flooring</t>
        </is>
      </c>
      <c r="D9" s="118" t="inlineStr">
        <is>
          <t>마루</t>
        </is>
      </c>
      <c r="E9" s="116" t="inlineStr">
        <is>
          <t>강화마루</t>
        </is>
      </c>
      <c r="F9" s="116" t="inlineStr">
        <is>
          <t>LX하우시스</t>
        </is>
      </c>
      <c r="G9" s="116" t="inlineStr">
        <is>
          <t>헤링본</t>
        </is>
      </c>
      <c r="H9" s="118" t="inlineStr">
        <is>
          <t>LX하우시스 강화 헤링본</t>
        </is>
      </c>
      <c r="I9" s="116" t="inlineStr">
        <is>
          <t>표준</t>
        </is>
      </c>
      <c r="J9" s="116" t="inlineStr">
        <is>
          <t>per_m2</t>
        </is>
      </c>
      <c r="K9" s="165" t="n">
        <v>35000</v>
      </c>
      <c r="L9" s="165" t="n">
        <v>20000</v>
      </c>
      <c r="M9" s="165">
        <f>K9+L9</f>
        <v/>
      </c>
      <c r="N9" s="116" t="inlineStr">
        <is>
          <t>시장 시세 검증 (2026-05)</t>
        </is>
      </c>
      <c r="O9" s="116" t="inlineStr">
        <is>
          <t>2026-05</t>
        </is>
      </c>
      <c r="P9" s="116" t="inlineStr">
        <is>
          <t>operator</t>
        </is>
      </c>
      <c r="Q9" s="174" t="n"/>
      <c r="R9" s="174" t="n"/>
      <c r="S9" s="174" t="n"/>
      <c r="T9" s="174" t="n"/>
      <c r="U9" s="174" t="n"/>
      <c r="V9" s="174" t="n"/>
      <c r="W9" s="174" t="n"/>
      <c r="X9" s="143" t="inlineStr">
        <is>
          <t>쓰레드/SNS 시장가 검증 (헤링본 추가비 +5,000/㎡)</t>
        </is>
      </c>
      <c r="Y9" s="143">
        <f>LEFT(I9,FIND(",",I9&amp;",")-1)</f>
        <v/>
      </c>
      <c r="Z9" s="116">
        <f>C9&amp;"|"&amp;Y9</f>
        <v/>
      </c>
      <c r="AA9" s="116">
        <f>E9&amp;"|"&amp;Y9</f>
        <v/>
      </c>
    </row>
    <row r="10" ht="15" customHeight="1" s="95">
      <c r="A10" s="116" t="inlineStr">
        <is>
          <t>MAT-FL-009</t>
        </is>
      </c>
      <c r="B10" s="116" t="inlineStr">
        <is>
          <t>active</t>
        </is>
      </c>
      <c r="C10" s="116" t="inlineStr">
        <is>
          <t>flooring</t>
        </is>
      </c>
      <c r="D10" s="118" t="inlineStr">
        <is>
          <t>마루</t>
        </is>
      </c>
      <c r="E10" s="116" t="inlineStr">
        <is>
          <t>강마루</t>
        </is>
      </c>
      <c r="F10" s="116" t="inlineStr">
        <is>
          <t>동화자연마루</t>
        </is>
      </c>
      <c r="G10" s="116" t="inlineStr">
        <is>
          <t>더원</t>
        </is>
      </c>
      <c r="H10" s="118" t="inlineStr">
        <is>
          <t>동화자연마루 더원 165×1200×7.5T</t>
        </is>
      </c>
      <c r="I10" s="116" t="inlineStr">
        <is>
          <t>표준</t>
        </is>
      </c>
      <c r="J10" s="116" t="inlineStr">
        <is>
          <t>per_m2</t>
        </is>
      </c>
      <c r="K10" s="165" t="n">
        <v>40000</v>
      </c>
      <c r="L10" s="165" t="n">
        <v>16000</v>
      </c>
      <c r="M10" s="165">
        <f>K10+L10</f>
        <v/>
      </c>
      <c r="N10" s="116" t="inlineStr">
        <is>
          <t>시장가 추정</t>
        </is>
      </c>
      <c r="O10" s="116" t="inlineStr">
        <is>
          <t>2026-04</t>
        </is>
      </c>
      <c r="P10" s="116" t="inlineStr">
        <is>
          <t>operator</t>
        </is>
      </c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43">
        <f>LEFT(I10,FIND(",",I10&amp;",")-1)</f>
        <v/>
      </c>
      <c r="Z10" s="116">
        <f>C10&amp;"|"&amp;Y10</f>
        <v/>
      </c>
      <c r="AA10" s="116">
        <f>E10&amp;"|"&amp;Y10</f>
        <v/>
      </c>
    </row>
    <row r="11" ht="15" customHeight="1" s="95">
      <c r="A11" s="116" t="inlineStr">
        <is>
          <t>MAT-FL-010</t>
        </is>
      </c>
      <c r="B11" s="116" t="inlineStr">
        <is>
          <t>active</t>
        </is>
      </c>
      <c r="C11" s="116" t="inlineStr">
        <is>
          <t>flooring</t>
        </is>
      </c>
      <c r="D11" s="118" t="inlineStr">
        <is>
          <t>마루</t>
        </is>
      </c>
      <c r="E11" s="116" t="inlineStr">
        <is>
          <t>강마루</t>
        </is>
      </c>
      <c r="F11" s="116" t="inlineStr">
        <is>
          <t>LX하우시스</t>
        </is>
      </c>
      <c r="G11" s="116" t="inlineStr">
        <is>
          <t>에디톤180</t>
        </is>
      </c>
      <c r="H11" s="118" t="inlineStr">
        <is>
          <t>LX하우시스 에디톤 180×1220×5.0T</t>
        </is>
      </c>
      <c r="I11" s="116" t="inlineStr">
        <is>
          <t>고급, 주력</t>
        </is>
      </c>
      <c r="J11" s="116" t="inlineStr">
        <is>
          <t>per_m2</t>
        </is>
      </c>
      <c r="K11" s="165" t="n">
        <v>55000</v>
      </c>
      <c r="L11" s="165" t="n">
        <v>22000</v>
      </c>
      <c r="M11" s="165">
        <f>K11+L11</f>
        <v/>
      </c>
      <c r="N11" s="116" t="inlineStr">
        <is>
          <t>시장가 추정</t>
        </is>
      </c>
      <c r="O11" s="116" t="inlineStr">
        <is>
          <t>2026-04</t>
        </is>
      </c>
      <c r="P11" s="116" t="inlineStr">
        <is>
          <t>operator</t>
        </is>
      </c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43">
        <f>LEFT(I11,FIND(",",I11&amp;",")-1)</f>
        <v/>
      </c>
      <c r="Z11" s="116">
        <f>C11&amp;"|"&amp;Y11</f>
        <v/>
      </c>
      <c r="AA11" s="116">
        <f>E11&amp;"|"&amp;Y11</f>
        <v/>
      </c>
    </row>
    <row r="12" ht="15" customHeight="1" s="95">
      <c r="A12" s="116" t="inlineStr">
        <is>
          <t>MAT-FL-011</t>
        </is>
      </c>
      <c r="B12" s="116" t="inlineStr">
        <is>
          <t>active</t>
        </is>
      </c>
      <c r="C12" s="116" t="inlineStr">
        <is>
          <t>flooring</t>
        </is>
      </c>
      <c r="D12" s="118" t="inlineStr">
        <is>
          <t>마루</t>
        </is>
      </c>
      <c r="E12" s="116" t="inlineStr">
        <is>
          <t>강마루</t>
        </is>
      </c>
      <c r="F12" s="116" t="inlineStr">
        <is>
          <t>구정마루</t>
        </is>
      </c>
      <c r="G12" s="116" t="inlineStr">
        <is>
          <t>헤링본</t>
        </is>
      </c>
      <c r="H12" s="118" t="inlineStr">
        <is>
          <t>구정마루 헤링본 9.4×600×7.5T</t>
        </is>
      </c>
      <c r="I12" s="116" t="inlineStr">
        <is>
          <t>고급</t>
        </is>
      </c>
      <c r="J12" s="116" t="inlineStr">
        <is>
          <t>per_m2</t>
        </is>
      </c>
      <c r="K12" s="165" t="n">
        <v>50000</v>
      </c>
      <c r="L12" s="165" t="n">
        <v>26000</v>
      </c>
      <c r="M12" s="165">
        <f>K12+L12</f>
        <v/>
      </c>
      <c r="N12" s="116" t="inlineStr">
        <is>
          <t>시장 시세 검증 (2026-05)</t>
        </is>
      </c>
      <c r="O12" s="116" t="inlineStr">
        <is>
          <t>2026-05</t>
        </is>
      </c>
      <c r="P12" s="116" t="inlineStr">
        <is>
          <t>operator</t>
        </is>
      </c>
      <c r="Q12" s="174" t="n"/>
      <c r="R12" s="174" t="n"/>
      <c r="S12" s="174" t="n"/>
      <c r="T12" s="174" t="n"/>
      <c r="U12" s="174" t="n"/>
      <c r="V12" s="174" t="n"/>
      <c r="W12" s="174" t="n"/>
      <c r="X12" s="116" t="inlineStr">
        <is>
          <t>쓰레드/SNS (헤링본 추가 인건비)</t>
        </is>
      </c>
      <c r="Y12" s="143">
        <f>LEFT(I12,FIND(",",I12&amp;",")-1)</f>
        <v/>
      </c>
      <c r="Z12" s="116">
        <f>C12&amp;"|"&amp;Y12</f>
        <v/>
      </c>
      <c r="AA12" s="116">
        <f>E12&amp;"|"&amp;Y12</f>
        <v/>
      </c>
    </row>
    <row r="13" ht="15" customHeight="1" s="95">
      <c r="A13" s="116" t="inlineStr">
        <is>
          <t>MAT-FL-012</t>
        </is>
      </c>
      <c r="B13" s="116" t="inlineStr">
        <is>
          <t>active</t>
        </is>
      </c>
      <c r="C13" s="116" t="inlineStr">
        <is>
          <t>flooring</t>
        </is>
      </c>
      <c r="D13" s="118" t="inlineStr">
        <is>
          <t>마루</t>
        </is>
      </c>
      <c r="E13" s="116" t="inlineStr">
        <is>
          <t>원목마루</t>
        </is>
      </c>
      <c r="F13" s="116" t="inlineStr">
        <is>
          <t>이건마루</t>
        </is>
      </c>
      <c r="G13" s="116" t="inlineStr">
        <is>
          <t>골드</t>
        </is>
      </c>
      <c r="H13" s="118" t="inlineStr">
        <is>
          <t>이건마루 골드 14×120×900</t>
        </is>
      </c>
      <c r="I13" s="116" t="inlineStr">
        <is>
          <t>고급</t>
        </is>
      </c>
      <c r="J13" s="116" t="inlineStr">
        <is>
          <t>per_m2</t>
        </is>
      </c>
      <c r="K13" s="165" t="n">
        <v>65000</v>
      </c>
      <c r="L13" s="165" t="n">
        <v>26000</v>
      </c>
      <c r="M13" s="165">
        <f>K13+L13</f>
        <v/>
      </c>
      <c r="N13" s="116" t="inlineStr">
        <is>
          <t>시장가 추정</t>
        </is>
      </c>
      <c r="O13" s="116" t="inlineStr">
        <is>
          <t>2026-04</t>
        </is>
      </c>
      <c r="P13" s="116" t="inlineStr">
        <is>
          <t>operator</t>
        </is>
      </c>
      <c r="Q13" s="174" t="n"/>
      <c r="R13" s="174" t="n"/>
      <c r="S13" s="174" t="n"/>
      <c r="T13" s="174" t="n"/>
      <c r="U13" s="174" t="n"/>
      <c r="V13" s="174" t="n"/>
      <c r="W13" s="174" t="n"/>
      <c r="X13" s="174" t="n"/>
      <c r="Y13" s="143">
        <f>LEFT(I13,FIND(",",I13&amp;",")-1)</f>
        <v/>
      </c>
      <c r="Z13" s="116">
        <f>C13&amp;"|"&amp;Y13</f>
        <v/>
      </c>
      <c r="AA13" s="116">
        <f>E13&amp;"|"&amp;Y13</f>
        <v/>
      </c>
    </row>
    <row r="14" ht="15" customHeight="1" s="95">
      <c r="A14" s="116" t="inlineStr">
        <is>
          <t>MAT-FL-013</t>
        </is>
      </c>
      <c r="B14" s="116" t="inlineStr">
        <is>
          <t>active</t>
        </is>
      </c>
      <c r="C14" s="116" t="inlineStr">
        <is>
          <t>flooring</t>
        </is>
      </c>
      <c r="D14" s="118" t="inlineStr">
        <is>
          <t>마루</t>
        </is>
      </c>
      <c r="E14" s="116" t="inlineStr">
        <is>
          <t>원목마루</t>
        </is>
      </c>
      <c r="F14" s="116" t="inlineStr">
        <is>
          <t>구정마루</t>
        </is>
      </c>
      <c r="G14" s="116" t="inlineStr">
        <is>
          <t>원목광폭</t>
        </is>
      </c>
      <c r="H14" s="118" t="inlineStr">
        <is>
          <t>구정마루 원목 200폭</t>
        </is>
      </c>
      <c r="I14" s="116" t="inlineStr">
        <is>
          <t>고급</t>
        </is>
      </c>
      <c r="J14" s="116" t="inlineStr">
        <is>
          <t>per_m2</t>
        </is>
      </c>
      <c r="K14" s="165" t="n">
        <v>78000</v>
      </c>
      <c r="L14" s="165" t="n">
        <v>30000</v>
      </c>
      <c r="M14" s="165">
        <f>K14+L14</f>
        <v/>
      </c>
      <c r="N14" s="116" t="inlineStr">
        <is>
          <t>시장가 추정</t>
        </is>
      </c>
      <c r="O14" s="116" t="inlineStr">
        <is>
          <t>2026-04</t>
        </is>
      </c>
      <c r="P14" s="116" t="inlineStr">
        <is>
          <t>operator</t>
        </is>
      </c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43">
        <f>LEFT(I14,FIND(",",I14&amp;",")-1)</f>
        <v/>
      </c>
      <c r="Z14" s="116">
        <f>C14&amp;"|"&amp;Y14</f>
        <v/>
      </c>
      <c r="AA14" s="116">
        <f>E14&amp;"|"&amp;Y14</f>
        <v/>
      </c>
    </row>
    <row r="15" ht="15" customHeight="1" s="95">
      <c r="A15" s="116" t="inlineStr">
        <is>
          <t>MAT-WP-001</t>
        </is>
      </c>
      <c r="B15" s="116" t="inlineStr">
        <is>
          <t>active</t>
        </is>
      </c>
      <c r="C15" s="116" t="inlineStr">
        <is>
          <t>wallpaper</t>
        </is>
      </c>
      <c r="D15" s="118" t="inlineStr">
        <is>
          <t>도배</t>
        </is>
      </c>
      <c r="E15" s="116" t="inlineStr">
        <is>
          <t>합지</t>
        </is>
      </c>
      <c r="F15" s="116" t="inlineStr">
        <is>
          <t>개나리벽지</t>
        </is>
      </c>
      <c r="G15" s="116" t="inlineStr">
        <is>
          <t>광폭합지</t>
        </is>
      </c>
      <c r="H15" s="118" t="inlineStr">
        <is>
          <t>개나리벽지 광폭합지</t>
        </is>
      </c>
      <c r="I15" s="116" t="inlineStr">
        <is>
          <t>가성비, 주력</t>
        </is>
      </c>
      <c r="J15" s="116" t="inlineStr">
        <is>
          <t>per_m2</t>
        </is>
      </c>
      <c r="K15" s="165" t="n">
        <v>3500</v>
      </c>
      <c r="L15" s="165" t="n">
        <v>4200</v>
      </c>
      <c r="M15" s="165">
        <f>K15+L15</f>
        <v/>
      </c>
      <c r="N15" s="116" t="inlineStr">
        <is>
          <t>시장 시세 검증 (2026-05)</t>
        </is>
      </c>
      <c r="O15" s="116" t="inlineStr">
        <is>
          <t>2026-05</t>
        </is>
      </c>
      <c r="P15" s="116" t="inlineStr">
        <is>
          <t>operator</t>
        </is>
      </c>
      <c r="Q15" s="174" t="n"/>
      <c r="R15" s="174" t="n"/>
      <c r="S15" s="174" t="n"/>
      <c r="T15" s="174" t="n"/>
      <c r="U15" s="174" t="n"/>
      <c r="V15" s="174" t="n"/>
      <c r="W15" s="174" t="n"/>
      <c r="X15" s="116" t="inlineStr">
        <is>
          <t>셀인카페·숨고 (광폭 합지 부자재포함)</t>
        </is>
      </c>
      <c r="Y15" s="143">
        <f>LEFT(I15,FIND(",",I15&amp;",")-1)</f>
        <v/>
      </c>
      <c r="Z15" s="116">
        <f>C15&amp;"|"&amp;Y15</f>
        <v/>
      </c>
      <c r="AA15" s="116">
        <f>E15&amp;"|"&amp;Y15</f>
        <v/>
      </c>
    </row>
    <row r="16" ht="15" customHeight="1" s="95">
      <c r="A16" s="116" t="inlineStr">
        <is>
          <t>MAT-WP-002</t>
        </is>
      </c>
      <c r="B16" s="116" t="inlineStr">
        <is>
          <t>active</t>
        </is>
      </c>
      <c r="C16" s="116" t="inlineStr">
        <is>
          <t>wallpaper</t>
        </is>
      </c>
      <c r="D16" s="118" t="inlineStr">
        <is>
          <t>도배</t>
        </is>
      </c>
      <c r="E16" s="116" t="inlineStr">
        <is>
          <t>합지</t>
        </is>
      </c>
      <c r="F16" s="116" t="inlineStr">
        <is>
          <t>개나리벽지</t>
        </is>
      </c>
      <c r="G16" s="116" t="inlineStr">
        <is>
          <t>일반합지</t>
        </is>
      </c>
      <c r="H16" s="118" t="inlineStr">
        <is>
          <t>개나리벽지 일반합지</t>
        </is>
      </c>
      <c r="I16" s="116" t="inlineStr">
        <is>
          <t>가성비</t>
        </is>
      </c>
      <c r="J16" s="116" t="inlineStr">
        <is>
          <t>per_m2</t>
        </is>
      </c>
      <c r="K16" s="165" t="n">
        <v>3000</v>
      </c>
      <c r="L16" s="165" t="n">
        <v>4500</v>
      </c>
      <c r="M16" s="165">
        <f>K16+L16</f>
        <v/>
      </c>
      <c r="N16" s="116" t="inlineStr">
        <is>
          <t>시장 시세 검증 (2026-05)</t>
        </is>
      </c>
      <c r="O16" s="116" t="inlineStr">
        <is>
          <t>2026-05</t>
        </is>
      </c>
      <c r="P16" s="116" t="inlineStr">
        <is>
          <t>operator</t>
        </is>
      </c>
      <c r="Q16" s="174" t="n"/>
      <c r="R16" s="174" t="n"/>
      <c r="S16" s="174" t="n"/>
      <c r="T16" s="174" t="n"/>
      <c r="U16" s="174" t="n"/>
      <c r="V16" s="174" t="n"/>
      <c r="W16" s="174" t="n"/>
      <c r="X16" s="143" t="inlineStr">
        <is>
          <t>셀인카페·숨고 (합지 자재 5,000~7,000/㎡) | 셀인카페·숨고 (합지 인건비 4,000~6,000/㎡)</t>
        </is>
      </c>
      <c r="Y16" s="143">
        <f>LEFT(I16,FIND(",",I16&amp;",")-1)</f>
        <v/>
      </c>
      <c r="Z16" s="116">
        <f>C16&amp;"|"&amp;Y16</f>
        <v/>
      </c>
      <c r="AA16" s="116">
        <f>E16&amp;"|"&amp;Y16</f>
        <v/>
      </c>
    </row>
    <row r="17" ht="15" customHeight="1" s="95">
      <c r="A17" s="116" t="inlineStr">
        <is>
          <t>MAT-WP-003</t>
        </is>
      </c>
      <c r="B17" s="116" t="inlineStr">
        <is>
          <t>active</t>
        </is>
      </c>
      <c r="C17" s="116" t="inlineStr">
        <is>
          <t>wallpaper</t>
        </is>
      </c>
      <c r="D17" s="118" t="inlineStr">
        <is>
          <t>도배</t>
        </is>
      </c>
      <c r="E17" s="116" t="inlineStr">
        <is>
          <t>수성도장</t>
        </is>
      </c>
      <c r="F17" s="116" t="inlineStr">
        <is>
          <t>삼화페인트</t>
        </is>
      </c>
      <c r="G17" s="116" t="inlineStr">
        <is>
          <t>수성페인트</t>
        </is>
      </c>
      <c r="H17" s="118" t="inlineStr">
        <is>
          <t>수성페인트 일반급 2회</t>
        </is>
      </c>
      <c r="I17" s="116" t="inlineStr">
        <is>
          <t>가성비</t>
        </is>
      </c>
      <c r="J17" s="116" t="inlineStr">
        <is>
          <t>per_m2</t>
        </is>
      </c>
      <c r="K17" s="165" t="n">
        <v>3500</v>
      </c>
      <c r="L17" s="165" t="n">
        <v>5000</v>
      </c>
      <c r="M17" s="165">
        <f>K17+L17</f>
        <v/>
      </c>
      <c r="N17" s="116" t="inlineStr">
        <is>
          <t>시장가 추정</t>
        </is>
      </c>
      <c r="O17" s="116" t="inlineStr">
        <is>
          <t>2026-04</t>
        </is>
      </c>
      <c r="P17" s="116" t="inlineStr">
        <is>
          <t>operator</t>
        </is>
      </c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43">
        <f>LEFT(I17,FIND(",",I17&amp;",")-1)</f>
        <v/>
      </c>
      <c r="Z17" s="116">
        <f>C17&amp;"|"&amp;Y17</f>
        <v/>
      </c>
      <c r="AA17" s="116">
        <f>E17&amp;"|"&amp;Y17</f>
        <v/>
      </c>
    </row>
    <row r="18" ht="15" customHeight="1" s="95">
      <c r="A18" s="116" t="inlineStr">
        <is>
          <t>MAT-WP-004</t>
        </is>
      </c>
      <c r="B18" s="116" t="inlineStr">
        <is>
          <t>active</t>
        </is>
      </c>
      <c r="C18" s="116" t="inlineStr">
        <is>
          <t>wallpaper</t>
        </is>
      </c>
      <c r="D18" s="118" t="inlineStr">
        <is>
          <t>도배</t>
        </is>
      </c>
      <c r="E18" s="116" t="inlineStr">
        <is>
          <t>실크</t>
        </is>
      </c>
      <c r="F18" s="116" t="inlineStr">
        <is>
          <t>LX하우시스</t>
        </is>
      </c>
      <c r="G18" s="116" t="inlineStr">
        <is>
          <t>베스띠</t>
        </is>
      </c>
      <c r="H18" s="118" t="inlineStr">
        <is>
          <t>LX하우시스 베스띠</t>
        </is>
      </c>
      <c r="I18" s="116" t="inlineStr">
        <is>
          <t>표준, 주력</t>
        </is>
      </c>
      <c r="J18" s="116" t="inlineStr">
        <is>
          <t>per_m2</t>
        </is>
      </c>
      <c r="K18" s="165" t="n">
        <v>7000</v>
      </c>
      <c r="L18" s="165" t="n">
        <v>5500</v>
      </c>
      <c r="M18" s="165">
        <f>K18+L18</f>
        <v/>
      </c>
      <c r="N18" s="116" t="inlineStr">
        <is>
          <t>시장가 추정</t>
        </is>
      </c>
      <c r="O18" s="116" t="inlineStr">
        <is>
          <t>2026-04</t>
        </is>
      </c>
      <c r="P18" s="116" t="inlineStr">
        <is>
          <t>operator</t>
        </is>
      </c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43">
        <f>LEFT(I18,FIND(",",I18&amp;",")-1)</f>
        <v/>
      </c>
      <c r="Z18" s="116">
        <f>C18&amp;"|"&amp;Y18</f>
        <v/>
      </c>
      <c r="AA18" s="116">
        <f>E18&amp;"|"&amp;Y18</f>
        <v/>
      </c>
    </row>
    <row r="19" ht="15" customHeight="1" s="95">
      <c r="A19" s="116" t="inlineStr">
        <is>
          <t>MAT-WP-005</t>
        </is>
      </c>
      <c r="B19" s="116" t="inlineStr">
        <is>
          <t>active</t>
        </is>
      </c>
      <c r="C19" s="116" t="inlineStr">
        <is>
          <t>wallpaper</t>
        </is>
      </c>
      <c r="D19" s="118" t="inlineStr">
        <is>
          <t>도배</t>
        </is>
      </c>
      <c r="E19" s="116" t="inlineStr">
        <is>
          <t>합지</t>
        </is>
      </c>
      <c r="F19" s="116" t="inlineStr">
        <is>
          <t>LX하우시스</t>
        </is>
      </c>
      <c r="G19" s="116" t="inlineStr">
        <is>
          <t>친환경합지</t>
        </is>
      </c>
      <c r="H19" s="118" t="inlineStr">
        <is>
          <t>LX하우시스 친환경합지</t>
        </is>
      </c>
      <c r="I19" s="116" t="inlineStr">
        <is>
          <t>표준</t>
        </is>
      </c>
      <c r="J19" s="116" t="inlineStr">
        <is>
          <t>per_m2</t>
        </is>
      </c>
      <c r="K19" s="165" t="n">
        <v>4000</v>
      </c>
      <c r="L19" s="165" t="n">
        <v>4500</v>
      </c>
      <c r="M19" s="165">
        <f>K19+L19</f>
        <v/>
      </c>
      <c r="N19" s="116" t="inlineStr">
        <is>
          <t>시장가 추정</t>
        </is>
      </c>
      <c r="O19" s="116" t="inlineStr">
        <is>
          <t>2026-04</t>
        </is>
      </c>
      <c r="P19" s="116" t="inlineStr">
        <is>
          <t>operator</t>
        </is>
      </c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43">
        <f>LEFT(I19,FIND(",",I19&amp;",")-1)</f>
        <v/>
      </c>
      <c r="Z19" s="116">
        <f>C19&amp;"|"&amp;Y19</f>
        <v/>
      </c>
      <c r="AA19" s="116">
        <f>E19&amp;"|"&amp;Y19</f>
        <v/>
      </c>
    </row>
    <row r="20" ht="15" customHeight="1" s="95">
      <c r="A20" s="116" t="inlineStr">
        <is>
          <t>MAT-WP-006</t>
        </is>
      </c>
      <c r="B20" s="116" t="inlineStr">
        <is>
          <t>active</t>
        </is>
      </c>
      <c r="C20" s="116" t="inlineStr">
        <is>
          <t>wallpaper</t>
        </is>
      </c>
      <c r="D20" s="118" t="inlineStr">
        <is>
          <t>도배</t>
        </is>
      </c>
      <c r="E20" s="116" t="inlineStr">
        <is>
          <t>실크</t>
        </is>
      </c>
      <c r="F20" s="116" t="inlineStr">
        <is>
          <t>LX하우시스</t>
        </is>
      </c>
      <c r="G20" s="116" t="inlineStr">
        <is>
          <t>베스띠광폭</t>
        </is>
      </c>
      <c r="H20" s="118" t="inlineStr">
        <is>
          <t>LX하우시스 베스띠 광폭</t>
        </is>
      </c>
      <c r="I20" s="116" t="inlineStr">
        <is>
          <t>표준</t>
        </is>
      </c>
      <c r="J20" s="116" t="inlineStr">
        <is>
          <t>per_m2</t>
        </is>
      </c>
      <c r="K20" s="165" t="n">
        <v>8500</v>
      </c>
      <c r="L20" s="165" t="n">
        <v>6000</v>
      </c>
      <c r="M20" s="165">
        <f>K20+L20</f>
        <v/>
      </c>
      <c r="N20" s="116" t="inlineStr">
        <is>
          <t>시장가 추정</t>
        </is>
      </c>
      <c r="O20" s="116" t="inlineStr">
        <is>
          <t>2026-04</t>
        </is>
      </c>
      <c r="P20" s="116" t="inlineStr">
        <is>
          <t>operator</t>
        </is>
      </c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43">
        <f>LEFT(I20,FIND(",",I20&amp;",")-1)</f>
        <v/>
      </c>
      <c r="Z20" s="116">
        <f>C20&amp;"|"&amp;Y20</f>
        <v/>
      </c>
      <c r="AA20" s="116">
        <f>E20&amp;"|"&amp;Y20</f>
        <v/>
      </c>
    </row>
    <row r="21" ht="15" customHeight="1" s="95">
      <c r="A21" s="116" t="inlineStr">
        <is>
          <t>MAT-WP-007</t>
        </is>
      </c>
      <c r="B21" s="116" t="inlineStr">
        <is>
          <t>active</t>
        </is>
      </c>
      <c r="C21" s="116" t="inlineStr">
        <is>
          <t>wallpaper</t>
        </is>
      </c>
      <c r="D21" s="118" t="inlineStr">
        <is>
          <t>도배</t>
        </is>
      </c>
      <c r="E21" s="116" t="inlineStr">
        <is>
          <t>실크</t>
        </is>
      </c>
      <c r="F21" s="116" t="inlineStr">
        <is>
          <t>디아이디</t>
        </is>
      </c>
      <c r="G21" s="116" t="inlineStr">
        <is>
          <t>항균실크</t>
        </is>
      </c>
      <c r="H21" s="118" t="inlineStr">
        <is>
          <t>디아이디 항균실크</t>
        </is>
      </c>
      <c r="I21" s="116" t="inlineStr">
        <is>
          <t>표준</t>
        </is>
      </c>
      <c r="J21" s="116" t="inlineStr">
        <is>
          <t>per_m2</t>
        </is>
      </c>
      <c r="K21" s="165" t="n">
        <v>9000</v>
      </c>
      <c r="L21" s="165" t="n">
        <v>6000</v>
      </c>
      <c r="M21" s="165">
        <f>K21+L21</f>
        <v/>
      </c>
      <c r="N21" s="116" t="inlineStr">
        <is>
          <t>시장가 추정</t>
        </is>
      </c>
      <c r="O21" s="116" t="inlineStr">
        <is>
          <t>2026-04</t>
        </is>
      </c>
      <c r="P21" s="116" t="inlineStr">
        <is>
          <t>operator</t>
        </is>
      </c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43">
        <f>LEFT(I21,FIND(",",I21&amp;",")-1)</f>
        <v/>
      </c>
      <c r="Z21" s="116">
        <f>C21&amp;"|"&amp;Y21</f>
        <v/>
      </c>
      <c r="AA21" s="116">
        <f>E21&amp;"|"&amp;Y21</f>
        <v/>
      </c>
    </row>
    <row r="22" ht="15" customHeight="1" s="95">
      <c r="A22" s="116" t="inlineStr">
        <is>
          <t>MAT-WP-008</t>
        </is>
      </c>
      <c r="B22" s="116" t="inlineStr">
        <is>
          <t>active</t>
        </is>
      </c>
      <c r="C22" s="116" t="inlineStr">
        <is>
          <t>wallpaper</t>
        </is>
      </c>
      <c r="D22" s="118" t="inlineStr">
        <is>
          <t>도배</t>
        </is>
      </c>
      <c r="E22" s="116" t="inlineStr">
        <is>
          <t>실크</t>
        </is>
      </c>
      <c r="F22" s="116" t="inlineStr">
        <is>
          <t>개나리벽지</t>
        </is>
      </c>
      <c r="G22" s="116" t="inlineStr">
        <is>
          <t>패턴실크</t>
        </is>
      </c>
      <c r="H22" s="118" t="inlineStr">
        <is>
          <t>개나리벽지 패턴실크</t>
        </is>
      </c>
      <c r="I22" s="116" t="inlineStr">
        <is>
          <t>표준</t>
        </is>
      </c>
      <c r="J22" s="116" t="inlineStr">
        <is>
          <t>per_m2</t>
        </is>
      </c>
      <c r="K22" s="165" t="n">
        <v>11000</v>
      </c>
      <c r="L22" s="165" t="n">
        <v>6500</v>
      </c>
      <c r="M22" s="165">
        <f>K22+L22</f>
        <v/>
      </c>
      <c r="N22" s="116" t="inlineStr">
        <is>
          <t>시장가 추정</t>
        </is>
      </c>
      <c r="O22" s="116" t="inlineStr">
        <is>
          <t>2026-04</t>
        </is>
      </c>
      <c r="P22" s="116" t="inlineStr">
        <is>
          <t>operator</t>
        </is>
      </c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43">
        <f>LEFT(I22,FIND(",",I22&amp;",")-1)</f>
        <v/>
      </c>
      <c r="Z22" s="116">
        <f>C22&amp;"|"&amp;Y22</f>
        <v/>
      </c>
      <c r="AA22" s="116">
        <f>E22&amp;"|"&amp;Y22</f>
        <v/>
      </c>
    </row>
    <row r="23" ht="15" customHeight="1" s="95">
      <c r="A23" s="116" t="inlineStr">
        <is>
          <t>MAT-WP-009</t>
        </is>
      </c>
      <c r="B23" s="116" t="inlineStr">
        <is>
          <t>active</t>
        </is>
      </c>
      <c r="C23" s="116" t="inlineStr">
        <is>
          <t>wallpaper</t>
        </is>
      </c>
      <c r="D23" s="118" t="inlineStr">
        <is>
          <t>도배</t>
        </is>
      </c>
      <c r="E23" s="116" t="inlineStr">
        <is>
          <t>실크</t>
        </is>
      </c>
      <c r="F23" s="116" t="inlineStr">
        <is>
          <t>LX하우시스</t>
        </is>
      </c>
      <c r="G23" s="116" t="inlineStr">
        <is>
          <t>디아망</t>
        </is>
      </c>
      <c r="H23" s="118" t="inlineStr">
        <is>
          <t>LX하우시스 디아망</t>
        </is>
      </c>
      <c r="I23" s="116" t="inlineStr">
        <is>
          <t>고급, 주력</t>
        </is>
      </c>
      <c r="J23" s="116" t="inlineStr">
        <is>
          <t>per_m2</t>
        </is>
      </c>
      <c r="K23" s="165" t="n">
        <v>11000</v>
      </c>
      <c r="L23" s="165" t="n">
        <v>7000</v>
      </c>
      <c r="M23" s="165">
        <f>K23+L23</f>
        <v/>
      </c>
      <c r="N23" s="116" t="inlineStr">
        <is>
          <t>시장가 추정</t>
        </is>
      </c>
      <c r="O23" s="116" t="inlineStr">
        <is>
          <t>2026-04</t>
        </is>
      </c>
      <c r="P23" s="116" t="inlineStr">
        <is>
          <t>operator</t>
        </is>
      </c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43">
        <f>LEFT(I23,FIND(",",I23&amp;",")-1)</f>
        <v/>
      </c>
      <c r="Z23" s="116">
        <f>C23&amp;"|"&amp;Y23</f>
        <v/>
      </c>
      <c r="AA23" s="116">
        <f>E23&amp;"|"&amp;Y23</f>
        <v/>
      </c>
    </row>
    <row r="24" ht="15" customHeight="1" s="95">
      <c r="A24" s="116" t="inlineStr">
        <is>
          <t>MAT-WP-010</t>
        </is>
      </c>
      <c r="B24" s="116" t="inlineStr">
        <is>
          <t>active</t>
        </is>
      </c>
      <c r="C24" s="116" t="inlineStr">
        <is>
          <t>wallpaper</t>
        </is>
      </c>
      <c r="D24" s="118" t="inlineStr">
        <is>
          <t>도배</t>
        </is>
      </c>
      <c r="E24" s="116" t="inlineStr">
        <is>
          <t>실크</t>
        </is>
      </c>
      <c r="F24" s="116" t="inlineStr">
        <is>
          <t>디아이디</t>
        </is>
      </c>
      <c r="G24" s="116" t="inlineStr">
        <is>
          <t>프리미엄실크</t>
        </is>
      </c>
      <c r="H24" s="118" t="inlineStr">
        <is>
          <t>디아이디 프리미엄실크</t>
        </is>
      </c>
      <c r="I24" s="116" t="inlineStr">
        <is>
          <t>고급</t>
        </is>
      </c>
      <c r="J24" s="116" t="inlineStr">
        <is>
          <t>per_m2</t>
        </is>
      </c>
      <c r="K24" s="165" t="n">
        <v>19000</v>
      </c>
      <c r="L24" s="165" t="n">
        <v>8500</v>
      </c>
      <c r="M24" s="165">
        <f>K24+L24</f>
        <v/>
      </c>
      <c r="N24" s="116" t="inlineStr">
        <is>
          <t>시장가 추정</t>
        </is>
      </c>
      <c r="O24" s="116" t="inlineStr">
        <is>
          <t>2026-04</t>
        </is>
      </c>
      <c r="P24" s="116" t="inlineStr">
        <is>
          <t>operator</t>
        </is>
      </c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43">
        <f>LEFT(I24,FIND(",",I24&amp;",")-1)</f>
        <v/>
      </c>
      <c r="Z24" s="116">
        <f>C24&amp;"|"&amp;Y24</f>
        <v/>
      </c>
      <c r="AA24" s="116">
        <f>E24&amp;"|"&amp;Y24</f>
        <v/>
      </c>
    </row>
    <row r="25" ht="15" customHeight="1" s="95">
      <c r="A25" s="116" t="inlineStr">
        <is>
          <t>MAT-WP-011</t>
        </is>
      </c>
      <c r="B25" s="116" t="inlineStr">
        <is>
          <t>active</t>
        </is>
      </c>
      <c r="C25" s="116" t="inlineStr">
        <is>
          <t>wallpaper</t>
        </is>
      </c>
      <c r="D25" s="118" t="inlineStr">
        <is>
          <t>도장</t>
        </is>
      </c>
      <c r="E25" s="116" t="inlineStr">
        <is>
          <t>친환경도장</t>
        </is>
      </c>
      <c r="F25" s="116" t="inlineStr">
        <is>
          <t>벤자민무어</t>
        </is>
      </c>
      <c r="G25" s="116" t="inlineStr">
        <is>
          <t>친환경무광</t>
        </is>
      </c>
      <c r="H25" s="118" t="inlineStr">
        <is>
          <t>벤자민무어 친환경 무광</t>
        </is>
      </c>
      <c r="I25" s="116" t="inlineStr">
        <is>
          <t>고급</t>
        </is>
      </c>
      <c r="J25" s="116" t="inlineStr">
        <is>
          <t>per_m2</t>
        </is>
      </c>
      <c r="K25" s="165" t="n">
        <v>8000</v>
      </c>
      <c r="L25" s="165" t="n">
        <v>6500</v>
      </c>
      <c r="M25" s="165">
        <f>K25+L25</f>
        <v/>
      </c>
      <c r="N25" s="116" t="inlineStr">
        <is>
          <t>시장가 추정</t>
        </is>
      </c>
      <c r="O25" s="116" t="inlineStr">
        <is>
          <t>2026-04</t>
        </is>
      </c>
      <c r="P25" s="116" t="inlineStr">
        <is>
          <t>operator</t>
        </is>
      </c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43">
        <f>LEFT(I25,FIND(",",I25&amp;",")-1)</f>
        <v/>
      </c>
      <c r="Z25" s="116">
        <f>C25&amp;"|"&amp;Y25</f>
        <v/>
      </c>
      <c r="AA25" s="116">
        <f>E25&amp;"|"&amp;Y25</f>
        <v/>
      </c>
    </row>
    <row r="26" ht="15" customHeight="1" s="95">
      <c r="A26" s="116" t="inlineStr">
        <is>
          <t>MAT-MD-001</t>
        </is>
      </c>
      <c r="B26" s="116" t="inlineStr">
        <is>
          <t>active</t>
        </is>
      </c>
      <c r="C26" s="116" t="inlineStr">
        <is>
          <t>molding</t>
        </is>
      </c>
      <c r="D26" s="118" t="inlineStr">
        <is>
          <t>몰딩</t>
        </is>
      </c>
      <c r="E26" s="116" t="inlineStr">
        <is>
          <t>PVC</t>
        </is>
      </c>
      <c r="F26" s="116" t="inlineStr">
        <is>
          <t>비브랜드</t>
        </is>
      </c>
      <c r="G26" s="116" t="inlineStr">
        <is>
          <t>표준PVC</t>
        </is>
      </c>
      <c r="H26" s="118" t="inlineStr">
        <is>
          <t>PVC 평몰딩 표준</t>
        </is>
      </c>
      <c r="I26" s="116" t="inlineStr">
        <is>
          <t>가성비, 주력</t>
        </is>
      </c>
      <c r="J26" s="116" t="inlineStr">
        <is>
          <t>per_m</t>
        </is>
      </c>
      <c r="K26" s="165" t="n">
        <v>2200</v>
      </c>
      <c r="L26" s="165" t="n">
        <v>4000</v>
      </c>
      <c r="M26" s="165">
        <f>K26+L26</f>
        <v/>
      </c>
      <c r="N26" s="116" t="inlineStr">
        <is>
          <t>시장 시세 검증 (2026-05)</t>
        </is>
      </c>
      <c r="O26" s="116" t="inlineStr">
        <is>
          <t>2026-05</t>
        </is>
      </c>
      <c r="P26" s="116" t="inlineStr">
        <is>
          <t>operator</t>
        </is>
      </c>
      <c r="Q26" s="174" t="n"/>
      <c r="R26" s="174" t="n"/>
      <c r="S26" s="174" t="n"/>
      <c r="T26" s="174" t="n"/>
      <c r="U26" s="174" t="n"/>
      <c r="V26" s="174" t="n"/>
      <c r="W26" s="174" t="n"/>
      <c r="X26" s="143" t="inlineStr">
        <is>
          <t>SNS 단가표 (PVC 평몰딩 m당 6,000~9,000)</t>
        </is>
      </c>
      <c r="Y26" s="143">
        <f>LEFT(I26,FIND(",",I26&amp;",")-1)</f>
        <v/>
      </c>
      <c r="Z26" s="116">
        <f>C26&amp;"|"&amp;Y26</f>
        <v/>
      </c>
      <c r="AA26" s="116">
        <f>E26&amp;"|"&amp;Y26</f>
        <v/>
      </c>
    </row>
    <row r="27" ht="15" customHeight="1" s="95">
      <c r="A27" s="116" t="inlineStr">
        <is>
          <t>MAT-MD-002</t>
        </is>
      </c>
      <c r="B27" s="116" t="inlineStr">
        <is>
          <t>active</t>
        </is>
      </c>
      <c r="C27" s="116" t="inlineStr">
        <is>
          <t>molding</t>
        </is>
      </c>
      <c r="D27" s="118" t="inlineStr">
        <is>
          <t>몰딩</t>
        </is>
      </c>
      <c r="E27" s="116" t="inlineStr">
        <is>
          <t>PVC</t>
        </is>
      </c>
      <c r="F27" s="116" t="inlineStr">
        <is>
          <t>비브랜드</t>
        </is>
      </c>
      <c r="G27" s="116" t="inlineStr">
        <is>
          <t>슬림PVC</t>
        </is>
      </c>
      <c r="H27" s="118" t="inlineStr">
        <is>
          <t>PVC 슬림 평몰딩</t>
        </is>
      </c>
      <c r="I27" s="116" t="inlineStr">
        <is>
          <t>가성비</t>
        </is>
      </c>
      <c r="J27" s="116" t="inlineStr">
        <is>
          <t>per_m</t>
        </is>
      </c>
      <c r="K27" s="165" t="n">
        <v>3800</v>
      </c>
      <c r="L27" s="165" t="n">
        <v>4800</v>
      </c>
      <c r="M27" s="165">
        <f>K27+L27</f>
        <v/>
      </c>
      <c r="N27" s="116" t="inlineStr">
        <is>
          <t>시장가 추정</t>
        </is>
      </c>
      <c r="O27" s="116" t="inlineStr">
        <is>
          <t>2026-04</t>
        </is>
      </c>
      <c r="P27" s="116" t="inlineStr">
        <is>
          <t>operator</t>
        </is>
      </c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43">
        <f>LEFT(I27,FIND(",",I27&amp;",")-1)</f>
        <v/>
      </c>
      <c r="Z27" s="116">
        <f>C27&amp;"|"&amp;Y27</f>
        <v/>
      </c>
      <c r="AA27" s="116">
        <f>E27&amp;"|"&amp;Y27</f>
        <v/>
      </c>
    </row>
    <row r="28" ht="15" customHeight="1" s="95">
      <c r="A28" s="116" t="inlineStr">
        <is>
          <t>MAT-MD-003</t>
        </is>
      </c>
      <c r="B28" s="116" t="inlineStr">
        <is>
          <t>active</t>
        </is>
      </c>
      <c r="C28" s="116" t="inlineStr">
        <is>
          <t>molding</t>
        </is>
      </c>
      <c r="D28" s="118" t="inlineStr">
        <is>
          <t>몰딩</t>
        </is>
      </c>
      <c r="E28" s="116" t="inlineStr">
        <is>
          <t>PVC</t>
        </is>
      </c>
      <c r="F28" s="116" t="inlineStr">
        <is>
          <t>영림</t>
        </is>
      </c>
      <c r="G28" s="116" t="inlineStr">
        <is>
          <t>각몰딩</t>
        </is>
      </c>
      <c r="H28" s="118" t="inlineStr">
        <is>
          <t>영림 PVC 각몰딩</t>
        </is>
      </c>
      <c r="I28" s="116" t="inlineStr">
        <is>
          <t>가성비</t>
        </is>
      </c>
      <c r="J28" s="116" t="inlineStr">
        <is>
          <t>per_m</t>
        </is>
      </c>
      <c r="K28" s="165" t="n">
        <v>5500</v>
      </c>
      <c r="L28" s="165" t="n">
        <v>5500</v>
      </c>
      <c r="M28" s="165">
        <f>K28+L28</f>
        <v/>
      </c>
      <c r="N28" s="116" t="inlineStr">
        <is>
          <t>시장가 추정</t>
        </is>
      </c>
      <c r="O28" s="116" t="inlineStr">
        <is>
          <t>2026-04</t>
        </is>
      </c>
      <c r="P28" s="116" t="inlineStr">
        <is>
          <t>operator</t>
        </is>
      </c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43">
        <f>LEFT(I28,FIND(",",I28&amp;",")-1)</f>
        <v/>
      </c>
      <c r="Z28" s="116">
        <f>C28&amp;"|"&amp;Y28</f>
        <v/>
      </c>
      <c r="AA28" s="116">
        <f>E28&amp;"|"&amp;Y28</f>
        <v/>
      </c>
    </row>
    <row r="29" ht="15" customHeight="1" s="95">
      <c r="A29" s="116" t="inlineStr">
        <is>
          <t>MAT-MD-004</t>
        </is>
      </c>
      <c r="B29" s="116" t="inlineStr">
        <is>
          <t>active</t>
        </is>
      </c>
      <c r="C29" s="116" t="inlineStr">
        <is>
          <t>molding</t>
        </is>
      </c>
      <c r="D29" s="118" t="inlineStr">
        <is>
          <t>몰딩</t>
        </is>
      </c>
      <c r="E29" s="116" t="inlineStr">
        <is>
          <t>MDF</t>
        </is>
      </c>
      <c r="F29" s="116" t="inlineStr">
        <is>
          <t>대성</t>
        </is>
      </c>
      <c r="G29" s="116" t="inlineStr">
        <is>
          <t>MDF평몰딩</t>
        </is>
      </c>
      <c r="H29" s="118" t="inlineStr">
        <is>
          <t>대성 MDF 평몰딩</t>
        </is>
      </c>
      <c r="I29" s="116" t="inlineStr">
        <is>
          <t>표준, 주력</t>
        </is>
      </c>
      <c r="J29" s="116" t="inlineStr">
        <is>
          <t>per_m</t>
        </is>
      </c>
      <c r="K29" s="165" t="n">
        <v>7800</v>
      </c>
      <c r="L29" s="165" t="n">
        <v>6500</v>
      </c>
      <c r="M29" s="165">
        <f>K29+L29</f>
        <v/>
      </c>
      <c r="N29" s="116" t="inlineStr">
        <is>
          <t>시장가 추정</t>
        </is>
      </c>
      <c r="O29" s="116" t="inlineStr">
        <is>
          <t>2026-04</t>
        </is>
      </c>
      <c r="P29" s="116" t="inlineStr">
        <is>
          <t>operator</t>
        </is>
      </c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43">
        <f>LEFT(I29,FIND(",",I29&amp;",")-1)</f>
        <v/>
      </c>
      <c r="Z29" s="116">
        <f>C29&amp;"|"&amp;Y29</f>
        <v/>
      </c>
      <c r="AA29" s="116">
        <f>E29&amp;"|"&amp;Y29</f>
        <v/>
      </c>
    </row>
    <row r="30" ht="15" customHeight="1" s="95">
      <c r="A30" s="116" t="inlineStr">
        <is>
          <t>MAT-MD-005</t>
        </is>
      </c>
      <c r="B30" s="116" t="inlineStr">
        <is>
          <t>active</t>
        </is>
      </c>
      <c r="C30" s="116" t="inlineStr">
        <is>
          <t>molding</t>
        </is>
      </c>
      <c r="D30" s="118" t="inlineStr">
        <is>
          <t>몰딩</t>
        </is>
      </c>
      <c r="E30" s="116" t="inlineStr">
        <is>
          <t>MDF</t>
        </is>
      </c>
      <c r="F30" s="116" t="inlineStr">
        <is>
          <t>영림</t>
        </is>
      </c>
      <c r="G30" s="116" t="inlineStr">
        <is>
          <t>MDF슬림</t>
        </is>
      </c>
      <c r="H30" s="118" t="inlineStr">
        <is>
          <t>영림 MDF 슬림 도장</t>
        </is>
      </c>
      <c r="I30" s="116" t="inlineStr">
        <is>
          <t>표준</t>
        </is>
      </c>
      <c r="J30" s="116" t="inlineStr">
        <is>
          <t>per_m</t>
        </is>
      </c>
      <c r="K30" s="165" t="n">
        <v>9500</v>
      </c>
      <c r="L30" s="165" t="n">
        <v>7200</v>
      </c>
      <c r="M30" s="165">
        <f>K30+L30</f>
        <v/>
      </c>
      <c r="N30" s="116" t="inlineStr">
        <is>
          <t>시장가 추정</t>
        </is>
      </c>
      <c r="O30" s="116" t="inlineStr">
        <is>
          <t>2026-04</t>
        </is>
      </c>
      <c r="P30" s="116" t="inlineStr">
        <is>
          <t>operator</t>
        </is>
      </c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43">
        <f>LEFT(I30,FIND(",",I30&amp;",")-1)</f>
        <v/>
      </c>
      <c r="Z30" s="116">
        <f>C30&amp;"|"&amp;Y30</f>
        <v/>
      </c>
      <c r="AA30" s="116">
        <f>E30&amp;"|"&amp;Y30</f>
        <v/>
      </c>
    </row>
    <row r="31" ht="15" customHeight="1" s="95">
      <c r="A31" s="116" t="inlineStr">
        <is>
          <t>MAT-MD-006</t>
        </is>
      </c>
      <c r="B31" s="116" t="inlineStr">
        <is>
          <t>active</t>
        </is>
      </c>
      <c r="C31" s="116" t="inlineStr">
        <is>
          <t>molding</t>
        </is>
      </c>
      <c r="D31" s="118" t="inlineStr">
        <is>
          <t>몰딩</t>
        </is>
      </c>
      <c r="E31" s="116" t="inlineStr">
        <is>
          <t>우드</t>
        </is>
      </c>
      <c r="F31" s="116" t="inlineStr">
        <is>
          <t>영림</t>
        </is>
      </c>
      <c r="G31" s="116" t="inlineStr">
        <is>
          <t>우드몰딩</t>
        </is>
      </c>
      <c r="H31" s="118" t="inlineStr">
        <is>
          <t>영림 우드 평몰딩</t>
        </is>
      </c>
      <c r="I31" s="116" t="inlineStr">
        <is>
          <t>고급, 주력</t>
        </is>
      </c>
      <c r="J31" s="116" t="inlineStr">
        <is>
          <t>per_m</t>
        </is>
      </c>
      <c r="K31" s="165" t="n">
        <v>14000</v>
      </c>
      <c r="L31" s="165" t="n">
        <v>8500</v>
      </c>
      <c r="M31" s="165">
        <f>K31+L31</f>
        <v/>
      </c>
      <c r="N31" s="116" t="inlineStr">
        <is>
          <t>시장가 추정</t>
        </is>
      </c>
      <c r="O31" s="116" t="inlineStr">
        <is>
          <t>2026-04</t>
        </is>
      </c>
      <c r="P31" s="116" t="inlineStr">
        <is>
          <t>operator</t>
        </is>
      </c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43">
        <f>LEFT(I31,FIND(",",I31&amp;",")-1)</f>
        <v/>
      </c>
      <c r="Z31" s="116">
        <f>C31&amp;"|"&amp;Y31</f>
        <v/>
      </c>
      <c r="AA31" s="116">
        <f>E31&amp;"|"&amp;Y31</f>
        <v/>
      </c>
    </row>
    <row r="32" ht="15" customHeight="1" s="95">
      <c r="A32" s="116" t="inlineStr">
        <is>
          <t>MAT-MD-007</t>
        </is>
      </c>
      <c r="B32" s="116" t="inlineStr">
        <is>
          <t>active</t>
        </is>
      </c>
      <c r="C32" s="116" t="inlineStr">
        <is>
          <t>molding</t>
        </is>
      </c>
      <c r="D32" s="118" t="inlineStr">
        <is>
          <t>몰딩</t>
        </is>
      </c>
      <c r="E32" s="116" t="inlineStr">
        <is>
          <t>마이너스</t>
        </is>
      </c>
      <c r="F32" s="116" t="inlineStr">
        <is>
          <t>히든몰딩</t>
        </is>
      </c>
      <c r="G32" s="116" t="inlineStr">
        <is>
          <t>마이너스</t>
        </is>
      </c>
      <c r="H32" s="118" t="inlineStr">
        <is>
          <t>히든몰딩 마이너스</t>
        </is>
      </c>
      <c r="I32" s="116" t="inlineStr">
        <is>
          <t>고급</t>
        </is>
      </c>
      <c r="J32" s="116" t="inlineStr">
        <is>
          <t>per_m</t>
        </is>
      </c>
      <c r="K32" s="165" t="n">
        <v>18500</v>
      </c>
      <c r="L32" s="165" t="n">
        <v>12000</v>
      </c>
      <c r="M32" s="165">
        <f>K32+L32</f>
        <v/>
      </c>
      <c r="N32" s="116" t="inlineStr">
        <is>
          <t>시장가 추정</t>
        </is>
      </c>
      <c r="O32" s="116" t="inlineStr">
        <is>
          <t>2026-04</t>
        </is>
      </c>
      <c r="P32" s="116" t="inlineStr">
        <is>
          <t>operator</t>
        </is>
      </c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43">
        <f>LEFT(I32,FIND(",",I32&amp;",")-1)</f>
        <v/>
      </c>
      <c r="Z32" s="116">
        <f>C32&amp;"|"&amp;Y32</f>
        <v/>
      </c>
      <c r="AA32" s="116">
        <f>E32&amp;"|"&amp;Y32</f>
        <v/>
      </c>
    </row>
    <row r="33" ht="15" customHeight="1" s="95">
      <c r="A33" s="116" t="inlineStr">
        <is>
          <t>MAT-MD-008</t>
        </is>
      </c>
      <c r="B33" s="116" t="inlineStr">
        <is>
          <t>active</t>
        </is>
      </c>
      <c r="C33" s="116" t="inlineStr">
        <is>
          <t>molding</t>
        </is>
      </c>
      <c r="D33" s="118" t="inlineStr">
        <is>
          <t>몰딩</t>
        </is>
      </c>
      <c r="E33" s="116" t="inlineStr">
        <is>
          <t>무몰딩</t>
        </is>
      </c>
      <c r="F33" s="116" t="inlineStr">
        <is>
          <t>현장시공</t>
        </is>
      </c>
      <c r="G33" s="116" t="inlineStr">
        <is>
          <t>무몰딩</t>
        </is>
      </c>
      <c r="H33" s="129" t="inlineStr">
        <is>
          <t>몰딩 미시공 (목공·도배 추가비는 별도 라인으로 산정)</t>
        </is>
      </c>
      <c r="I33" s="116" t="inlineStr">
        <is>
          <t>고급</t>
        </is>
      </c>
      <c r="J33" s="116" t="inlineStr">
        <is>
          <t>per_m</t>
        </is>
      </c>
      <c r="K33" s="165" t="n">
        <v>0</v>
      </c>
      <c r="L33" s="165" t="n">
        <v>0</v>
      </c>
      <c r="M33" s="165">
        <f>K33+L33</f>
        <v/>
      </c>
      <c r="N33" s="116" t="inlineStr">
        <is>
          <t>시장가 추정</t>
        </is>
      </c>
      <c r="O33" s="116" t="inlineStr">
        <is>
          <t>2026-04</t>
        </is>
      </c>
      <c r="P33" s="116" t="inlineStr">
        <is>
          <t>operator</t>
        </is>
      </c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43">
        <f>LEFT(I33,FIND(",",I33&amp;",")-1)</f>
        <v/>
      </c>
      <c r="Z33" s="116">
        <f>C33&amp;"|"&amp;Y33</f>
        <v/>
      </c>
      <c r="AA33" s="116">
        <f>E33&amp;"|"&amp;Y33</f>
        <v/>
      </c>
    </row>
    <row r="34" ht="15" customHeight="1" s="95">
      <c r="A34" s="116" t="inlineStr">
        <is>
          <t>MAT-MX-001</t>
        </is>
      </c>
      <c r="B34" s="116" t="inlineStr">
        <is>
          <t>active</t>
        </is>
      </c>
      <c r="C34" s="116" t="inlineStr">
        <is>
          <t>molding_carpentry</t>
        </is>
      </c>
      <c r="D34" s="118" t="inlineStr">
        <is>
          <t>목공사</t>
        </is>
      </c>
      <c r="E34" s="116" t="inlineStr">
        <is>
          <t>무몰딩</t>
        </is>
      </c>
      <c r="F34" s="116" t="inlineStr">
        <is>
          <t>현장시공</t>
        </is>
      </c>
      <c r="G34" s="116" t="inlineStr">
        <is>
          <t>무몰딩목공</t>
        </is>
      </c>
      <c r="H34" s="129" t="inlineStr">
        <is>
          <t>무몰딩 토글 ON 시 목공사 추가비 (공급면적 ㎡당)</t>
        </is>
      </c>
      <c r="I34" s="116" t="inlineStr">
        <is>
          <t>가성비, 주력</t>
        </is>
      </c>
      <c r="J34" s="116" t="inlineStr">
        <is>
          <t>per_m2</t>
        </is>
      </c>
      <c r="K34" s="165" t="n">
        <v>0</v>
      </c>
      <c r="L34" s="165" t="n">
        <v>10000</v>
      </c>
      <c r="M34" s="165">
        <f>K34+L34</f>
        <v/>
      </c>
      <c r="N34" s="116" t="inlineStr">
        <is>
          <t>시장가 추정</t>
        </is>
      </c>
      <c r="O34" s="116" t="inlineStr">
        <is>
          <t>2026-04</t>
        </is>
      </c>
      <c r="P34" s="116" t="inlineStr">
        <is>
          <t>operator</t>
        </is>
      </c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43">
        <f>LEFT(I34,FIND(",",I34&amp;",")-1)</f>
        <v/>
      </c>
      <c r="Z34" s="116">
        <f>C34&amp;"|"&amp;Y34</f>
        <v/>
      </c>
      <c r="AA34" s="116">
        <f>E34&amp;"|"&amp;Y34</f>
        <v/>
      </c>
    </row>
    <row r="35" ht="15" customHeight="1" s="95">
      <c r="A35" s="116" t="inlineStr">
        <is>
          <t>MAT-MX-002</t>
        </is>
      </c>
      <c r="B35" s="116" t="inlineStr">
        <is>
          <t>active</t>
        </is>
      </c>
      <c r="C35" s="116" t="inlineStr">
        <is>
          <t>molding_carpentry</t>
        </is>
      </c>
      <c r="D35" s="118" t="inlineStr">
        <is>
          <t>목공사</t>
        </is>
      </c>
      <c r="E35" s="116" t="inlineStr">
        <is>
          <t>무몰딩</t>
        </is>
      </c>
      <c r="F35" s="116" t="inlineStr">
        <is>
          <t>현장시공</t>
        </is>
      </c>
      <c r="G35" s="116" t="inlineStr">
        <is>
          <t>무몰딩목공</t>
        </is>
      </c>
      <c r="H35" s="129" t="inlineStr">
        <is>
          <t>무몰딩 토글 ON 시 목공사 추가비 (공급면적 ㎡당)</t>
        </is>
      </c>
      <c r="I35" s="116" t="inlineStr">
        <is>
          <t>표준, 주력</t>
        </is>
      </c>
      <c r="J35" s="116" t="inlineStr">
        <is>
          <t>per_m2</t>
        </is>
      </c>
      <c r="K35" s="165" t="n">
        <v>0</v>
      </c>
      <c r="L35" s="165" t="n">
        <v>10000</v>
      </c>
      <c r="M35" s="165">
        <f>K35+L35</f>
        <v/>
      </c>
      <c r="N35" s="116" t="inlineStr">
        <is>
          <t>시장가 추정</t>
        </is>
      </c>
      <c r="O35" s="116" t="inlineStr">
        <is>
          <t>2026-04</t>
        </is>
      </c>
      <c r="P35" s="116" t="inlineStr">
        <is>
          <t>operator</t>
        </is>
      </c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43">
        <f>LEFT(I35,FIND(",",I35&amp;",")-1)</f>
        <v/>
      </c>
      <c r="Z35" s="116">
        <f>C35&amp;"|"&amp;Y35</f>
        <v/>
      </c>
      <c r="AA35" s="116">
        <f>E35&amp;"|"&amp;Y35</f>
        <v/>
      </c>
    </row>
    <row r="36" ht="15" customHeight="1" s="95">
      <c r="A36" s="116" t="inlineStr">
        <is>
          <t>MAT-MX-003</t>
        </is>
      </c>
      <c r="B36" s="116" t="inlineStr">
        <is>
          <t>active</t>
        </is>
      </c>
      <c r="C36" s="116" t="inlineStr">
        <is>
          <t>molding_carpentry</t>
        </is>
      </c>
      <c r="D36" s="118" t="inlineStr">
        <is>
          <t>목공사</t>
        </is>
      </c>
      <c r="E36" s="116" t="inlineStr">
        <is>
          <t>무몰딩</t>
        </is>
      </c>
      <c r="F36" s="116" t="inlineStr">
        <is>
          <t>현장시공</t>
        </is>
      </c>
      <c r="G36" s="116" t="inlineStr">
        <is>
          <t>무몰딩목공</t>
        </is>
      </c>
      <c r="H36" s="129" t="inlineStr">
        <is>
          <t>무몰딩 토글 ON 시 목공사 추가비 (공급면적 ㎡당)</t>
        </is>
      </c>
      <c r="I36" s="116" t="inlineStr">
        <is>
          <t>고급, 주력</t>
        </is>
      </c>
      <c r="J36" s="116" t="inlineStr">
        <is>
          <t>per_m2</t>
        </is>
      </c>
      <c r="K36" s="165" t="n">
        <v>0</v>
      </c>
      <c r="L36" s="165" t="n">
        <v>10000</v>
      </c>
      <c r="M36" s="165">
        <f>K36+L36</f>
        <v/>
      </c>
      <c r="N36" s="116" t="inlineStr">
        <is>
          <t>시장가 추정</t>
        </is>
      </c>
      <c r="O36" s="116" t="inlineStr">
        <is>
          <t>2026-04</t>
        </is>
      </c>
      <c r="P36" s="116" t="inlineStr">
        <is>
          <t>operator</t>
        </is>
      </c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43">
        <f>LEFT(I36,FIND(",",I36&amp;",")-1)</f>
        <v/>
      </c>
      <c r="Z36" s="116">
        <f>C36&amp;"|"&amp;Y36</f>
        <v/>
      </c>
      <c r="AA36" s="116">
        <f>E36&amp;"|"&amp;Y36</f>
        <v/>
      </c>
    </row>
    <row r="37" ht="15" customHeight="1" s="95">
      <c r="A37" s="116" t="inlineStr">
        <is>
          <t>MAT-MY-001</t>
        </is>
      </c>
      <c r="B37" s="116" t="inlineStr">
        <is>
          <t>active</t>
        </is>
      </c>
      <c r="C37" s="116" t="inlineStr">
        <is>
          <t>molding_wallpaper</t>
        </is>
      </c>
      <c r="D37" s="118" t="inlineStr">
        <is>
          <t>몰딩</t>
        </is>
      </c>
      <c r="E37" s="116" t="inlineStr">
        <is>
          <t>무몰딩</t>
        </is>
      </c>
      <c r="F37" s="116" t="inlineStr">
        <is>
          <t>현장시공</t>
        </is>
      </c>
      <c r="G37" s="116" t="inlineStr">
        <is>
          <t>무몰딩도배</t>
        </is>
      </c>
      <c r="H37" s="129" t="inlineStr">
        <is>
          <t>무몰딩 토글 ON 시 도배 인건비 추가 (공급면적 ㎡당)</t>
        </is>
      </c>
      <c r="I37" s="116" t="inlineStr">
        <is>
          <t>가성비, 주력</t>
        </is>
      </c>
      <c r="J37" s="116" t="inlineStr">
        <is>
          <t>per_m2</t>
        </is>
      </c>
      <c r="K37" s="165" t="n">
        <v>0</v>
      </c>
      <c r="L37" s="165" t="n">
        <v>5000</v>
      </c>
      <c r="M37" s="165">
        <f>K37+L37</f>
        <v/>
      </c>
      <c r="N37" s="116" t="inlineStr">
        <is>
          <t>시장가 추정</t>
        </is>
      </c>
      <c r="O37" s="116" t="inlineStr">
        <is>
          <t>2026-04</t>
        </is>
      </c>
      <c r="P37" s="116" t="inlineStr">
        <is>
          <t>operator</t>
        </is>
      </c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43">
        <f>LEFT(I37,FIND(",",I37&amp;",")-1)</f>
        <v/>
      </c>
      <c r="Z37" s="116">
        <f>C37&amp;"|"&amp;Y37</f>
        <v/>
      </c>
      <c r="AA37" s="116">
        <f>E37&amp;"|"&amp;Y37</f>
        <v/>
      </c>
    </row>
    <row r="38" ht="15" customHeight="1" s="95">
      <c r="A38" s="116" t="inlineStr">
        <is>
          <t>MAT-MY-002</t>
        </is>
      </c>
      <c r="B38" s="116" t="inlineStr">
        <is>
          <t>active</t>
        </is>
      </c>
      <c r="C38" s="116" t="inlineStr">
        <is>
          <t>molding_wallpaper</t>
        </is>
      </c>
      <c r="D38" s="118" t="inlineStr">
        <is>
          <t>몰딩</t>
        </is>
      </c>
      <c r="E38" s="116" t="inlineStr">
        <is>
          <t>무몰딩</t>
        </is>
      </c>
      <c r="F38" s="116" t="inlineStr">
        <is>
          <t>현장시공</t>
        </is>
      </c>
      <c r="G38" s="116" t="inlineStr">
        <is>
          <t>무몰딩도배</t>
        </is>
      </c>
      <c r="H38" s="129" t="inlineStr">
        <is>
          <t>무몰딩 토글 ON 시 도배 인건비 추가 (공급면적 ㎡당)</t>
        </is>
      </c>
      <c r="I38" s="116" t="inlineStr">
        <is>
          <t>표준, 주력</t>
        </is>
      </c>
      <c r="J38" s="116" t="inlineStr">
        <is>
          <t>per_m2</t>
        </is>
      </c>
      <c r="K38" s="165" t="n">
        <v>0</v>
      </c>
      <c r="L38" s="165" t="n">
        <v>5000</v>
      </c>
      <c r="M38" s="165">
        <f>K38+L38</f>
        <v/>
      </c>
      <c r="N38" s="116" t="inlineStr">
        <is>
          <t>시장가 추정</t>
        </is>
      </c>
      <c r="O38" s="116" t="inlineStr">
        <is>
          <t>2026-04</t>
        </is>
      </c>
      <c r="P38" s="116" t="inlineStr">
        <is>
          <t>operator</t>
        </is>
      </c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43">
        <f>LEFT(I38,FIND(",",I38&amp;",")-1)</f>
        <v/>
      </c>
      <c r="Z38" s="116">
        <f>C38&amp;"|"&amp;Y38</f>
        <v/>
      </c>
      <c r="AA38" s="116">
        <f>E38&amp;"|"&amp;Y38</f>
        <v/>
      </c>
    </row>
    <row r="39" ht="15" customHeight="1" s="95">
      <c r="A39" s="116" t="inlineStr">
        <is>
          <t>MAT-MY-003</t>
        </is>
      </c>
      <c r="B39" s="116" t="inlineStr">
        <is>
          <t>active</t>
        </is>
      </c>
      <c r="C39" s="116" t="inlineStr">
        <is>
          <t>molding_wallpaper</t>
        </is>
      </c>
      <c r="D39" s="118" t="inlineStr">
        <is>
          <t>몰딩</t>
        </is>
      </c>
      <c r="E39" s="116" t="inlineStr">
        <is>
          <t>무몰딩</t>
        </is>
      </c>
      <c r="F39" s="116" t="inlineStr">
        <is>
          <t>현장시공</t>
        </is>
      </c>
      <c r="G39" s="116" t="inlineStr">
        <is>
          <t>무몰딩도배</t>
        </is>
      </c>
      <c r="H39" s="129" t="inlineStr">
        <is>
          <t>무몰딩 토글 ON 시 도배 인건비 추가 (공급면적 ㎡당)</t>
        </is>
      </c>
      <c r="I39" s="116" t="inlineStr">
        <is>
          <t>고급, 주력</t>
        </is>
      </c>
      <c r="J39" s="116" t="inlineStr">
        <is>
          <t>per_m2</t>
        </is>
      </c>
      <c r="K39" s="165" t="n">
        <v>0</v>
      </c>
      <c r="L39" s="165" t="n">
        <v>5000</v>
      </c>
      <c r="M39" s="165">
        <f>K39+L39</f>
        <v/>
      </c>
      <c r="N39" s="116" t="inlineStr">
        <is>
          <t>시장가 추정</t>
        </is>
      </c>
      <c r="O39" s="116" t="inlineStr">
        <is>
          <t>2026-04</t>
        </is>
      </c>
      <c r="P39" s="116" t="inlineStr">
        <is>
          <t>operator</t>
        </is>
      </c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43">
        <f>LEFT(I39,FIND(",",I39&amp;",")-1)</f>
        <v/>
      </c>
      <c r="Z39" s="116">
        <f>C39&amp;"|"&amp;Y39</f>
        <v/>
      </c>
      <c r="AA39" s="116">
        <f>E39&amp;"|"&amp;Y39</f>
        <v/>
      </c>
    </row>
    <row r="40" ht="15" customHeight="1" s="95">
      <c r="A40" s="116" t="inlineStr">
        <is>
          <t>MAT-BB-001</t>
        </is>
      </c>
      <c r="B40" s="116" t="inlineStr">
        <is>
          <t>active</t>
        </is>
      </c>
      <c r="C40" s="116" t="inlineStr">
        <is>
          <t>baseboard</t>
        </is>
      </c>
      <c r="D40" s="118" t="inlineStr">
        <is>
          <t>걸레받이</t>
        </is>
      </c>
      <c r="E40" s="116" t="inlineStr">
        <is>
          <t>PVC4전</t>
        </is>
      </c>
      <c r="F40" s="116" t="inlineStr">
        <is>
          <t>현장시공</t>
        </is>
      </c>
      <c r="G40" s="116" t="inlineStr">
        <is>
          <t>PVC4전일반</t>
        </is>
      </c>
      <c r="H40" s="129" t="inlineStr">
        <is>
          <t>PVC 4전 걸레받이 일반급 (자재+인건비, 공급면적 ㎡당)</t>
        </is>
      </c>
      <c r="I40" s="116" t="inlineStr">
        <is>
          <t>가성비, 주력</t>
        </is>
      </c>
      <c r="J40" s="116" t="inlineStr">
        <is>
          <t>per_m2</t>
        </is>
      </c>
      <c r="K40" s="165" t="n">
        <v>1200</v>
      </c>
      <c r="L40" s="165" t="n">
        <v>1200</v>
      </c>
      <c r="M40" s="165">
        <f>K40+L40</f>
        <v/>
      </c>
      <c r="N40" s="116" t="inlineStr">
        <is>
          <t>시장가 추정</t>
        </is>
      </c>
      <c r="O40" s="116" t="inlineStr">
        <is>
          <t>2026-04</t>
        </is>
      </c>
      <c r="P40" s="116" t="inlineStr">
        <is>
          <t>operator</t>
        </is>
      </c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43">
        <f>LEFT(I40,FIND(",",I40&amp;",")-1)</f>
        <v/>
      </c>
      <c r="Z40" s="116">
        <f>C40&amp;"|"&amp;Y40</f>
        <v/>
      </c>
      <c r="AA40" s="116">
        <f>E40&amp;"|"&amp;Y40</f>
        <v/>
      </c>
    </row>
    <row r="41" ht="15" customHeight="1" s="95">
      <c r="A41" s="116" t="inlineStr">
        <is>
          <t>MAT-BB-002</t>
        </is>
      </c>
      <c r="B41" s="116" t="inlineStr">
        <is>
          <t>active</t>
        </is>
      </c>
      <c r="C41" s="116" t="inlineStr">
        <is>
          <t>baseboard</t>
        </is>
      </c>
      <c r="D41" s="118" t="inlineStr">
        <is>
          <t>걸레받이</t>
        </is>
      </c>
      <c r="E41" s="116" t="inlineStr">
        <is>
          <t>PVC4전</t>
        </is>
      </c>
      <c r="F41" s="116" t="inlineStr">
        <is>
          <t>현장시공</t>
        </is>
      </c>
      <c r="G41" s="116" t="inlineStr">
        <is>
          <t>PVC4전표준</t>
        </is>
      </c>
      <c r="H41" s="129" t="inlineStr">
        <is>
          <t>PVC 4전 걸레받이 표준급 (자재+인건비, 공급면적 ㎡당)</t>
        </is>
      </c>
      <c r="I41" s="116" t="inlineStr">
        <is>
          <t>표준, 주력</t>
        </is>
      </c>
      <c r="J41" s="116" t="inlineStr">
        <is>
          <t>per_m2</t>
        </is>
      </c>
      <c r="K41" s="165" t="n">
        <v>2000</v>
      </c>
      <c r="L41" s="165" t="n">
        <v>1500</v>
      </c>
      <c r="M41" s="165">
        <f>K41+L41</f>
        <v/>
      </c>
      <c r="N41" s="116" t="inlineStr">
        <is>
          <t>시장가 추정</t>
        </is>
      </c>
      <c r="O41" s="116" t="inlineStr">
        <is>
          <t>2026-04</t>
        </is>
      </c>
      <c r="P41" s="116" t="inlineStr">
        <is>
          <t>operator</t>
        </is>
      </c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43">
        <f>LEFT(I41,FIND(",",I41&amp;",")-1)</f>
        <v/>
      </c>
      <c r="Z41" s="116">
        <f>C41&amp;"|"&amp;Y41</f>
        <v/>
      </c>
      <c r="AA41" s="116">
        <f>E41&amp;"|"&amp;Y41</f>
        <v/>
      </c>
    </row>
    <row r="42" ht="15" customHeight="1" s="95">
      <c r="A42" s="116" t="inlineStr">
        <is>
          <t>MAT-BB-003</t>
        </is>
      </c>
      <c r="B42" s="116" t="inlineStr">
        <is>
          <t>active</t>
        </is>
      </c>
      <c r="C42" s="116" t="inlineStr">
        <is>
          <t>baseboard</t>
        </is>
      </c>
      <c r="D42" s="118" t="inlineStr">
        <is>
          <t>걸레받이</t>
        </is>
      </c>
      <c r="E42" s="116" t="inlineStr">
        <is>
          <t>무걸레받이</t>
        </is>
      </c>
      <c r="F42" s="116" t="inlineStr">
        <is>
          <t>현장시공</t>
        </is>
      </c>
      <c r="G42" s="116" t="inlineStr">
        <is>
          <t>무걸레받이</t>
        </is>
      </c>
      <c r="H42" s="129" t="inlineStr">
        <is>
          <t>무걸레받이 (목공·도배 추가비는 별도 라인으로 산정)</t>
        </is>
      </c>
      <c r="I42" s="116" t="inlineStr">
        <is>
          <t>고급, 주력</t>
        </is>
      </c>
      <c r="J42" s="116" t="inlineStr">
        <is>
          <t>per_m2</t>
        </is>
      </c>
      <c r="K42" s="165" t="n">
        <v>0</v>
      </c>
      <c r="L42" s="165" t="n">
        <v>0</v>
      </c>
      <c r="M42" s="165">
        <f>K42+L42</f>
        <v/>
      </c>
      <c r="N42" s="116" t="inlineStr">
        <is>
          <t>시장가 추정</t>
        </is>
      </c>
      <c r="O42" s="116" t="inlineStr">
        <is>
          <t>2026-04</t>
        </is>
      </c>
      <c r="P42" s="116" t="inlineStr">
        <is>
          <t>operator</t>
        </is>
      </c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43">
        <f>LEFT(I42,FIND(",",I42&amp;",")-1)</f>
        <v/>
      </c>
      <c r="Z42" s="116">
        <f>C42&amp;"|"&amp;Y42</f>
        <v/>
      </c>
      <c r="AA42" s="116">
        <f>E42&amp;"|"&amp;Y42</f>
        <v/>
      </c>
    </row>
    <row r="43" ht="15" customHeight="1" s="95">
      <c r="A43" s="116" t="inlineStr">
        <is>
          <t>MAT-BX-001</t>
        </is>
      </c>
      <c r="B43" s="116" t="inlineStr">
        <is>
          <t>active</t>
        </is>
      </c>
      <c r="C43" s="116" t="inlineStr">
        <is>
          <t>baseboard_carpentry</t>
        </is>
      </c>
      <c r="D43" s="118" t="inlineStr">
        <is>
          <t>목공사</t>
        </is>
      </c>
      <c r="E43" s="116" t="inlineStr">
        <is>
          <t>무걸레받이</t>
        </is>
      </c>
      <c r="F43" s="116" t="inlineStr">
        <is>
          <t>현장시공</t>
        </is>
      </c>
      <c r="G43" s="116" t="inlineStr">
        <is>
          <t>무걸레목공</t>
        </is>
      </c>
      <c r="H43" s="129" t="inlineStr">
        <is>
          <t>무걸레받이 선택 시 목공사 추가비 (공급면적 ㎡당)</t>
        </is>
      </c>
      <c r="I43" s="116" t="inlineStr">
        <is>
          <t>가성비, 주력</t>
        </is>
      </c>
      <c r="J43" s="116" t="inlineStr">
        <is>
          <t>per_m2</t>
        </is>
      </c>
      <c r="K43" s="165" t="n">
        <v>0</v>
      </c>
      <c r="L43" s="165" t="n">
        <v>10000</v>
      </c>
      <c r="M43" s="165">
        <f>K43+L43</f>
        <v/>
      </c>
      <c r="N43" s="116" t="inlineStr">
        <is>
          <t>시장가 추정</t>
        </is>
      </c>
      <c r="O43" s="116" t="inlineStr">
        <is>
          <t>2026-04</t>
        </is>
      </c>
      <c r="P43" s="116" t="inlineStr">
        <is>
          <t>operator</t>
        </is>
      </c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43">
        <f>LEFT(I43,FIND(",",I43&amp;",")-1)</f>
        <v/>
      </c>
      <c r="Z43" s="116">
        <f>C43&amp;"|"&amp;Y43</f>
        <v/>
      </c>
      <c r="AA43" s="116">
        <f>E43&amp;"|"&amp;Y43</f>
        <v/>
      </c>
    </row>
    <row r="44" ht="15" customHeight="1" s="95">
      <c r="A44" s="116" t="inlineStr">
        <is>
          <t>MAT-BX-002</t>
        </is>
      </c>
      <c r="B44" s="116" t="inlineStr">
        <is>
          <t>active</t>
        </is>
      </c>
      <c r="C44" s="116" t="inlineStr">
        <is>
          <t>baseboard_carpentry</t>
        </is>
      </c>
      <c r="D44" s="118" t="inlineStr">
        <is>
          <t>목공사</t>
        </is>
      </c>
      <c r="E44" s="116" t="inlineStr">
        <is>
          <t>무걸레받이</t>
        </is>
      </c>
      <c r="F44" s="116" t="inlineStr">
        <is>
          <t>현장시공</t>
        </is>
      </c>
      <c r="G44" s="116" t="inlineStr">
        <is>
          <t>무걸레목공</t>
        </is>
      </c>
      <c r="H44" s="129" t="inlineStr">
        <is>
          <t>무걸레받이 선택 시 목공사 추가비 (공급면적 ㎡당)</t>
        </is>
      </c>
      <c r="I44" s="116" t="inlineStr">
        <is>
          <t>표준, 주력</t>
        </is>
      </c>
      <c r="J44" s="116" t="inlineStr">
        <is>
          <t>per_m2</t>
        </is>
      </c>
      <c r="K44" s="165" t="n">
        <v>0</v>
      </c>
      <c r="L44" s="165" t="n">
        <v>10000</v>
      </c>
      <c r="M44" s="165">
        <f>K44+L44</f>
        <v/>
      </c>
      <c r="N44" s="116" t="inlineStr">
        <is>
          <t>시장가 추정</t>
        </is>
      </c>
      <c r="O44" s="116" t="inlineStr">
        <is>
          <t>2026-04</t>
        </is>
      </c>
      <c r="P44" s="116" t="inlineStr">
        <is>
          <t>operator</t>
        </is>
      </c>
      <c r="Q44" s="174" t="n"/>
      <c r="R44" s="174" t="n"/>
      <c r="S44" s="174" t="n"/>
      <c r="T44" s="174" t="n"/>
      <c r="U44" s="174" t="n"/>
      <c r="V44" s="174" t="n"/>
      <c r="W44" s="174" t="n"/>
      <c r="X44" s="174" t="n"/>
      <c r="Y44" s="143">
        <f>LEFT(I44,FIND(",",I44&amp;",")-1)</f>
        <v/>
      </c>
      <c r="Z44" s="116">
        <f>C44&amp;"|"&amp;Y44</f>
        <v/>
      </c>
      <c r="AA44" s="116">
        <f>E44&amp;"|"&amp;Y44</f>
        <v/>
      </c>
    </row>
    <row r="45" ht="15" customHeight="1" s="95">
      <c r="A45" s="116" t="inlineStr">
        <is>
          <t>MAT-BX-003</t>
        </is>
      </c>
      <c r="B45" s="116" t="inlineStr">
        <is>
          <t>active</t>
        </is>
      </c>
      <c r="C45" s="116" t="inlineStr">
        <is>
          <t>baseboard_carpentry</t>
        </is>
      </c>
      <c r="D45" s="118" t="inlineStr">
        <is>
          <t>목공사</t>
        </is>
      </c>
      <c r="E45" s="116" t="inlineStr">
        <is>
          <t>무걸레받이</t>
        </is>
      </c>
      <c r="F45" s="116" t="inlineStr">
        <is>
          <t>현장시공</t>
        </is>
      </c>
      <c r="G45" s="116" t="inlineStr">
        <is>
          <t>무걸레목공</t>
        </is>
      </c>
      <c r="H45" s="129" t="inlineStr">
        <is>
          <t>무걸레받이 선택 시 목공사 추가비 (공급면적 ㎡당)</t>
        </is>
      </c>
      <c r="I45" s="116" t="inlineStr">
        <is>
          <t>고급, 주력</t>
        </is>
      </c>
      <c r="J45" s="116" t="inlineStr">
        <is>
          <t>per_m2</t>
        </is>
      </c>
      <c r="K45" s="165" t="n">
        <v>0</v>
      </c>
      <c r="L45" s="165" t="n">
        <v>10000</v>
      </c>
      <c r="M45" s="165">
        <f>K45+L45</f>
        <v/>
      </c>
      <c r="N45" s="116" t="inlineStr">
        <is>
          <t>시장가 추정</t>
        </is>
      </c>
      <c r="O45" s="116" t="inlineStr">
        <is>
          <t>2026-04</t>
        </is>
      </c>
      <c r="P45" s="116" t="inlineStr">
        <is>
          <t>operator</t>
        </is>
      </c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43">
        <f>LEFT(I45,FIND(",",I45&amp;",")-1)</f>
        <v/>
      </c>
      <c r="Z45" s="116">
        <f>C45&amp;"|"&amp;Y45</f>
        <v/>
      </c>
      <c r="AA45" s="116">
        <f>E45&amp;"|"&amp;Y45</f>
        <v/>
      </c>
    </row>
    <row r="46" ht="15" customHeight="1" s="95">
      <c r="A46" s="116" t="inlineStr">
        <is>
          <t>MAT-BY-001</t>
        </is>
      </c>
      <c r="B46" s="116" t="inlineStr">
        <is>
          <t>active</t>
        </is>
      </c>
      <c r="C46" s="116" t="inlineStr">
        <is>
          <t>baseboard_wallpaper</t>
        </is>
      </c>
      <c r="D46" s="118" t="inlineStr">
        <is>
          <t>도배</t>
        </is>
      </c>
      <c r="E46" s="116" t="inlineStr">
        <is>
          <t>무걸레받이</t>
        </is>
      </c>
      <c r="F46" s="116" t="inlineStr">
        <is>
          <t>현장시공</t>
        </is>
      </c>
      <c r="G46" s="116" t="inlineStr">
        <is>
          <t>무걸레도배</t>
        </is>
      </c>
      <c r="H46" s="129" t="inlineStr">
        <is>
          <t>무걸레받이 선택 시 도배 인건비 추가 (공급면적 ㎡당)</t>
        </is>
      </c>
      <c r="I46" s="116" t="inlineStr">
        <is>
          <t>가성비, 주력</t>
        </is>
      </c>
      <c r="J46" s="116" t="inlineStr">
        <is>
          <t>per_m2</t>
        </is>
      </c>
      <c r="K46" s="165" t="n">
        <v>0</v>
      </c>
      <c r="L46" s="165" t="n">
        <v>5000</v>
      </c>
      <c r="M46" s="165">
        <f>K46+L46</f>
        <v/>
      </c>
      <c r="N46" s="116" t="inlineStr">
        <is>
          <t>시장가 추정</t>
        </is>
      </c>
      <c r="O46" s="116" t="inlineStr">
        <is>
          <t>2026-04</t>
        </is>
      </c>
      <c r="P46" s="116" t="inlineStr">
        <is>
          <t>operator</t>
        </is>
      </c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43">
        <f>LEFT(I46,FIND(",",I46&amp;",")-1)</f>
        <v/>
      </c>
      <c r="Z46" s="116">
        <f>C46&amp;"|"&amp;Y46</f>
        <v/>
      </c>
      <c r="AA46" s="116">
        <f>E46&amp;"|"&amp;Y46</f>
        <v/>
      </c>
    </row>
    <row r="47" ht="15" customHeight="1" s="95">
      <c r="A47" s="116" t="inlineStr">
        <is>
          <t>MAT-BY-002</t>
        </is>
      </c>
      <c r="B47" s="116" t="inlineStr">
        <is>
          <t>active</t>
        </is>
      </c>
      <c r="C47" s="116" t="inlineStr">
        <is>
          <t>baseboard_wallpaper</t>
        </is>
      </c>
      <c r="D47" s="118" t="inlineStr">
        <is>
          <t>도배</t>
        </is>
      </c>
      <c r="E47" s="116" t="inlineStr">
        <is>
          <t>무걸레받이</t>
        </is>
      </c>
      <c r="F47" s="116" t="inlineStr">
        <is>
          <t>현장시공</t>
        </is>
      </c>
      <c r="G47" s="116" t="inlineStr">
        <is>
          <t>무걸레도배</t>
        </is>
      </c>
      <c r="H47" s="129" t="inlineStr">
        <is>
          <t>무걸레받이 선택 시 도배 인건비 추가 (공급면적 ㎡당)</t>
        </is>
      </c>
      <c r="I47" s="116" t="inlineStr">
        <is>
          <t>표준, 주력</t>
        </is>
      </c>
      <c r="J47" s="116" t="inlineStr">
        <is>
          <t>per_m2</t>
        </is>
      </c>
      <c r="K47" s="165" t="n">
        <v>0</v>
      </c>
      <c r="L47" s="165" t="n">
        <v>5000</v>
      </c>
      <c r="M47" s="165">
        <f>K47+L47</f>
        <v/>
      </c>
      <c r="N47" s="116" t="inlineStr">
        <is>
          <t>시장가 추정</t>
        </is>
      </c>
      <c r="O47" s="116" t="inlineStr">
        <is>
          <t>2026-04</t>
        </is>
      </c>
      <c r="P47" s="116" t="inlineStr">
        <is>
          <t>operator</t>
        </is>
      </c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43">
        <f>LEFT(I47,FIND(",",I47&amp;",")-1)</f>
        <v/>
      </c>
      <c r="Z47" s="116">
        <f>C47&amp;"|"&amp;Y47</f>
        <v/>
      </c>
      <c r="AA47" s="116">
        <f>E47&amp;"|"&amp;Y47</f>
        <v/>
      </c>
    </row>
    <row r="48" ht="15" customHeight="1" s="95">
      <c r="A48" s="116" t="inlineStr">
        <is>
          <t>MAT-BY-003</t>
        </is>
      </c>
      <c r="B48" s="116" t="inlineStr">
        <is>
          <t>active</t>
        </is>
      </c>
      <c r="C48" s="116" t="inlineStr">
        <is>
          <t>baseboard_wallpaper</t>
        </is>
      </c>
      <c r="D48" s="118" t="inlineStr">
        <is>
          <t>도배</t>
        </is>
      </c>
      <c r="E48" s="116" t="inlineStr">
        <is>
          <t>무걸레받이</t>
        </is>
      </c>
      <c r="F48" s="116" t="inlineStr">
        <is>
          <t>현장시공</t>
        </is>
      </c>
      <c r="G48" s="116" t="inlineStr">
        <is>
          <t>무걸레도배</t>
        </is>
      </c>
      <c r="H48" s="129" t="inlineStr">
        <is>
          <t>무걸레받이 선택 시 도배 인건비 추가 (공급면적 ㎡당)</t>
        </is>
      </c>
      <c r="I48" s="116" t="inlineStr">
        <is>
          <t>고급, 주력</t>
        </is>
      </c>
      <c r="J48" s="116" t="inlineStr">
        <is>
          <t>per_m2</t>
        </is>
      </c>
      <c r="K48" s="165" t="n">
        <v>0</v>
      </c>
      <c r="L48" s="165" t="n">
        <v>5000</v>
      </c>
      <c r="M48" s="165">
        <f>K48+L48</f>
        <v/>
      </c>
      <c r="N48" s="116" t="inlineStr">
        <is>
          <t>시장가 추정</t>
        </is>
      </c>
      <c r="O48" s="116" t="inlineStr">
        <is>
          <t>2026-04</t>
        </is>
      </c>
      <c r="P48" s="116" t="inlineStr">
        <is>
          <t>operator</t>
        </is>
      </c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43">
        <f>LEFT(I48,FIND(",",I48&amp;",")-1)</f>
        <v/>
      </c>
      <c r="Z48" s="116">
        <f>C48&amp;"|"&amp;Y48</f>
        <v/>
      </c>
      <c r="AA48" s="116">
        <f>E48&amp;"|"&amp;Y48</f>
        <v/>
      </c>
    </row>
    <row r="49" ht="15" customHeight="1" s="95">
      <c r="A49" s="116" t="inlineStr">
        <is>
          <t>MAT-BJ-001</t>
        </is>
      </c>
      <c r="B49" s="116" t="inlineStr">
        <is>
          <t>active</t>
        </is>
      </c>
      <c r="C49" s="116" t="inlineStr">
        <is>
          <t>bath_jendai</t>
        </is>
      </c>
      <c r="D49" s="118" t="inlineStr">
        <is>
          <t>타일</t>
        </is>
      </c>
      <c r="E49" s="116" t="inlineStr">
        <is>
          <t>인조대리석</t>
        </is>
      </c>
      <c r="F49" s="116" t="inlineStr">
        <is>
          <t>사제</t>
        </is>
      </c>
      <c r="G49" s="116" t="inlineStr">
        <is>
          <t>인조일반</t>
        </is>
      </c>
      <c r="H49" s="118" t="inlineStr">
        <is>
          <t>인조대리석 일반 (욕실 젠다이)</t>
        </is>
      </c>
      <c r="I49" s="116" t="inlineStr">
        <is>
          <t>가성비, 주력</t>
        </is>
      </c>
      <c r="J49" s="116" t="inlineStr">
        <is>
          <t>per_ea</t>
        </is>
      </c>
      <c r="K49" s="165" t="n">
        <v>180000</v>
      </c>
      <c r="L49" s="165" t="n">
        <v>80000</v>
      </c>
      <c r="M49" s="165">
        <f>K49+L49</f>
        <v/>
      </c>
      <c r="N49" s="116" t="inlineStr">
        <is>
          <t>시장가 추정</t>
        </is>
      </c>
      <c r="O49" s="116" t="inlineStr">
        <is>
          <t>2026-04</t>
        </is>
      </c>
      <c r="P49" s="116" t="inlineStr">
        <is>
          <t>operator</t>
        </is>
      </c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43">
        <f>LEFT(I49,FIND(",",I49&amp;",")-1)</f>
        <v/>
      </c>
      <c r="Z49" s="116">
        <f>C49&amp;"|"&amp;Y49</f>
        <v/>
      </c>
      <c r="AA49" s="116">
        <f>E49&amp;"|"&amp;Y49</f>
        <v/>
      </c>
    </row>
    <row r="50" ht="15" customHeight="1" s="95">
      <c r="A50" s="116" t="inlineStr">
        <is>
          <t>MAT-BJ-002</t>
        </is>
      </c>
      <c r="B50" s="116" t="inlineStr">
        <is>
          <t>active</t>
        </is>
      </c>
      <c r="C50" s="116" t="inlineStr">
        <is>
          <t>bath_jendai</t>
        </is>
      </c>
      <c r="D50" s="118" t="inlineStr">
        <is>
          <t>타일</t>
        </is>
      </c>
      <c r="E50" s="116" t="inlineStr">
        <is>
          <t>인조대리석</t>
        </is>
      </c>
      <c r="F50" s="116" t="inlineStr">
        <is>
          <t>사제</t>
        </is>
      </c>
      <c r="G50" s="116" t="inlineStr">
        <is>
          <t>인조광택</t>
        </is>
      </c>
      <c r="H50" s="118" t="inlineStr">
        <is>
          <t>인조대리석 광택 (욕실 젠다이)</t>
        </is>
      </c>
      <c r="I50" s="116" t="inlineStr">
        <is>
          <t>표준, 주력</t>
        </is>
      </c>
      <c r="J50" s="116" t="inlineStr">
        <is>
          <t>per_ea</t>
        </is>
      </c>
      <c r="K50" s="165" t="n">
        <v>280000</v>
      </c>
      <c r="L50" s="165" t="n">
        <v>100000</v>
      </c>
      <c r="M50" s="165">
        <f>K50+L50</f>
        <v/>
      </c>
      <c r="N50" s="116" t="inlineStr">
        <is>
          <t>시장가 추정</t>
        </is>
      </c>
      <c r="O50" s="116" t="inlineStr">
        <is>
          <t>2026-04</t>
        </is>
      </c>
      <c r="P50" s="116" t="inlineStr">
        <is>
          <t>operator</t>
        </is>
      </c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43">
        <f>LEFT(I50,FIND(",",I50&amp;",")-1)</f>
        <v/>
      </c>
      <c r="Z50" s="116">
        <f>C50&amp;"|"&amp;Y50</f>
        <v/>
      </c>
      <c r="AA50" s="116">
        <f>E50&amp;"|"&amp;Y50</f>
        <v/>
      </c>
    </row>
    <row r="51" ht="15" customHeight="1" s="95">
      <c r="A51" s="116" t="inlineStr">
        <is>
          <t>MAT-BJ-003</t>
        </is>
      </c>
      <c r="B51" s="116" t="inlineStr">
        <is>
          <t>active</t>
        </is>
      </c>
      <c r="C51" s="116" t="inlineStr">
        <is>
          <t>bath_jendai</t>
        </is>
      </c>
      <c r="D51" s="118" t="inlineStr">
        <is>
          <t>타일</t>
        </is>
      </c>
      <c r="E51" s="116" t="inlineStr">
        <is>
          <t>천연석</t>
        </is>
      </c>
      <c r="F51" s="116" t="inlineStr">
        <is>
          <t>사제</t>
        </is>
      </c>
      <c r="G51" s="116" t="inlineStr">
        <is>
          <t>천연석</t>
        </is>
      </c>
      <c r="H51" s="118" t="inlineStr">
        <is>
          <t>천연석 카운터 (욕실 젠다이)</t>
        </is>
      </c>
      <c r="I51" s="116" t="inlineStr">
        <is>
          <t>고급, 주력</t>
        </is>
      </c>
      <c r="J51" s="116" t="inlineStr">
        <is>
          <t>per_ea</t>
        </is>
      </c>
      <c r="K51" s="165" t="n">
        <v>580000</v>
      </c>
      <c r="L51" s="165" t="n">
        <v>150000</v>
      </c>
      <c r="M51" s="165">
        <f>K51+L51</f>
        <v/>
      </c>
      <c r="N51" s="116" t="inlineStr">
        <is>
          <t>시장가 추정</t>
        </is>
      </c>
      <c r="O51" s="116" t="inlineStr">
        <is>
          <t>2026-04</t>
        </is>
      </c>
      <c r="P51" s="116" t="inlineStr">
        <is>
          <t>operator</t>
        </is>
      </c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43">
        <f>LEFT(I51,FIND(",",I51&amp;",")-1)</f>
        <v/>
      </c>
      <c r="Z51" s="116">
        <f>C51&amp;"|"&amp;Y51</f>
        <v/>
      </c>
      <c r="AA51" s="116">
        <f>E51&amp;"|"&amp;Y51</f>
        <v/>
      </c>
    </row>
    <row r="52" ht="15" customHeight="1" s="95">
      <c r="A52" s="116" t="inlineStr">
        <is>
          <t>MAT-BW-001</t>
        </is>
      </c>
      <c r="B52" s="116" t="inlineStr">
        <is>
          <t>active</t>
        </is>
      </c>
      <c r="C52" s="116" t="inlineStr">
        <is>
          <t>bath_waterproof</t>
        </is>
      </c>
      <c r="D52" s="118" t="inlineStr">
        <is>
          <t>조적/방수</t>
        </is>
      </c>
      <c r="E52" s="116" t="inlineStr">
        <is>
          <t>고뫄스</t>
        </is>
      </c>
      <c r="F52" s="116" t="inlineStr">
        <is>
          <t>현장시공</t>
        </is>
      </c>
      <c r="G52" s="116" t="inlineStr">
        <is>
          <t>고뫄스2회</t>
        </is>
      </c>
      <c r="H52" s="118" t="inlineStr">
        <is>
          <t>액체방수 1차 + 고뫄스 2회 보강 시공</t>
        </is>
      </c>
      <c r="I52" s="116" t="inlineStr">
        <is>
          <t>가성비, 주력</t>
        </is>
      </c>
      <c r="J52" s="116" t="inlineStr">
        <is>
          <t>per_m2</t>
        </is>
      </c>
      <c r="K52" s="165" t="n">
        <v>13000</v>
      </c>
      <c r="L52" s="165" t="n">
        <v>12000</v>
      </c>
      <c r="M52" s="165">
        <f>K52+L52</f>
        <v/>
      </c>
      <c r="N52" s="116" t="inlineStr">
        <is>
          <t>시장가 추정</t>
        </is>
      </c>
      <c r="O52" s="116" t="inlineStr">
        <is>
          <t>2026-04</t>
        </is>
      </c>
      <c r="P52" s="116" t="inlineStr">
        <is>
          <t>operator</t>
        </is>
      </c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43">
        <f>LEFT(I52,FIND(",",I52&amp;",")-1)</f>
        <v/>
      </c>
      <c r="Z52" s="116">
        <f>C52&amp;"|"&amp;Y52</f>
        <v/>
      </c>
      <c r="AA52" s="116">
        <f>E52&amp;"|"&amp;Y52</f>
        <v/>
      </c>
    </row>
    <row r="53" ht="15" customHeight="1" s="95">
      <c r="A53" s="116" t="inlineStr">
        <is>
          <t>MAT-BW-002</t>
        </is>
      </c>
      <c r="B53" s="116" t="inlineStr">
        <is>
          <t>active</t>
        </is>
      </c>
      <c r="C53" s="116" t="inlineStr">
        <is>
          <t>bath_waterproof</t>
        </is>
      </c>
      <c r="D53" s="118" t="inlineStr">
        <is>
          <t>조적/방수</t>
        </is>
      </c>
      <c r="E53" s="116" t="inlineStr">
        <is>
          <t>아덱스</t>
        </is>
      </c>
      <c r="F53" s="116" t="inlineStr">
        <is>
          <t>아덱스</t>
        </is>
      </c>
      <c r="G53" s="116" t="inlineStr">
        <is>
          <t>탄성도막</t>
        </is>
      </c>
      <c r="H53" s="118" t="inlineStr">
        <is>
          <t>액체방수 + 무기질탄성도막방수 (아덱스급)</t>
        </is>
      </c>
      <c r="I53" s="116" t="inlineStr">
        <is>
          <t>표준, 주력</t>
        </is>
      </c>
      <c r="J53" s="116" t="inlineStr">
        <is>
          <t>per_m2</t>
        </is>
      </c>
      <c r="K53" s="165" t="n">
        <v>23000</v>
      </c>
      <c r="L53" s="165" t="n">
        <v>17000</v>
      </c>
      <c r="M53" s="165">
        <f>K53+L53</f>
        <v/>
      </c>
      <c r="N53" s="116" t="inlineStr">
        <is>
          <t>시장가 추정</t>
        </is>
      </c>
      <c r="O53" s="116" t="inlineStr">
        <is>
          <t>2026-04</t>
        </is>
      </c>
      <c r="P53" s="116" t="inlineStr">
        <is>
          <t>operator</t>
        </is>
      </c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43">
        <f>LEFT(I53,FIND(",",I53&amp;",")-1)</f>
        <v/>
      </c>
      <c r="Z53" s="116">
        <f>C53&amp;"|"&amp;Y53</f>
        <v/>
      </c>
      <c r="AA53" s="116">
        <f>E53&amp;"|"&amp;Y53</f>
        <v/>
      </c>
    </row>
    <row r="54" ht="15" customHeight="1" s="95">
      <c r="A54" s="116" t="inlineStr">
        <is>
          <t>MAT-BW-003</t>
        </is>
      </c>
      <c r="B54" s="116" t="inlineStr">
        <is>
          <t>active</t>
        </is>
      </c>
      <c r="C54" s="116" t="inlineStr">
        <is>
          <t>bath_waterproof</t>
        </is>
      </c>
      <c r="D54" s="118" t="inlineStr">
        <is>
          <t>조적/방수</t>
        </is>
      </c>
      <c r="E54" s="116" t="inlineStr">
        <is>
          <t>아덱스정밀</t>
        </is>
      </c>
      <c r="F54" s="116" t="inlineStr">
        <is>
          <t>아덱스</t>
        </is>
      </c>
      <c r="G54" s="116" t="inlineStr">
        <is>
          <t>탄성도막정밀</t>
        </is>
      </c>
      <c r="H54" s="129" t="inlineStr">
        <is>
          <t>액체방수 + 무기질탄성도막 (아덱스급) + 정밀 시공</t>
        </is>
      </c>
      <c r="I54" s="116" t="inlineStr">
        <is>
          <t>고급, 주력</t>
        </is>
      </c>
      <c r="J54" s="116" t="inlineStr">
        <is>
          <t>per_m2</t>
        </is>
      </c>
      <c r="K54" s="165" t="n">
        <v>25000</v>
      </c>
      <c r="L54" s="165" t="n">
        <v>20000</v>
      </c>
      <c r="M54" s="165">
        <f>K54+L54</f>
        <v/>
      </c>
      <c r="N54" s="116" t="inlineStr">
        <is>
          <t>시장가 추정</t>
        </is>
      </c>
      <c r="O54" s="116" t="inlineStr">
        <is>
          <t>2026-04</t>
        </is>
      </c>
      <c r="P54" s="116" t="inlineStr">
        <is>
          <t>operator</t>
        </is>
      </c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43">
        <f>LEFT(I54,FIND(",",I54&amp;",")-1)</f>
        <v/>
      </c>
      <c r="Z54" s="116">
        <f>C54&amp;"|"&amp;Y54</f>
        <v/>
      </c>
      <c r="AA54" s="116">
        <f>E54&amp;"|"&amp;Y54</f>
        <v/>
      </c>
    </row>
    <row r="55" ht="15" customHeight="1" s="95">
      <c r="A55" s="116" t="inlineStr">
        <is>
          <t>MAT-BT-001</t>
        </is>
      </c>
      <c r="B55" s="116" t="inlineStr">
        <is>
          <t>active</t>
        </is>
      </c>
      <c r="C55" s="116" t="inlineStr">
        <is>
          <t>bath_tile</t>
        </is>
      </c>
      <c r="D55" s="118" t="inlineStr">
        <is>
          <t>타일</t>
        </is>
      </c>
      <c r="E55" s="116" t="inlineStr">
        <is>
          <t>300×600각</t>
        </is>
      </c>
      <c r="F55" s="116" t="inlineStr">
        <is>
          <t>포스코타일</t>
        </is>
      </c>
      <c r="G55" s="116" t="inlineStr">
        <is>
          <t>300x600</t>
        </is>
      </c>
      <c r="H55" s="129" t="inlineStr">
        <is>
          <t>300×600각 욕실 타일 (자재만, 인건비는 통합 타일팀)</t>
        </is>
      </c>
      <c r="I55" s="116" t="inlineStr">
        <is>
          <t>가성비, 주력</t>
        </is>
      </c>
      <c r="J55" s="116" t="inlineStr">
        <is>
          <t>per_m2</t>
        </is>
      </c>
      <c r="K55" s="165" t="n">
        <v>12000</v>
      </c>
      <c r="L55" s="165" t="n">
        <v>0</v>
      </c>
      <c r="M55" s="165">
        <f>K55+L55</f>
        <v/>
      </c>
      <c r="N55" s="116" t="inlineStr">
        <is>
          <t>시장가 추정</t>
        </is>
      </c>
      <c r="O55" s="116" t="inlineStr">
        <is>
          <t>2026-04</t>
        </is>
      </c>
      <c r="P55" s="116" t="inlineStr">
        <is>
          <t>operator</t>
        </is>
      </c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43">
        <f>LEFT(I55,FIND(",",I55&amp;",")-1)</f>
        <v/>
      </c>
      <c r="Z55" s="116">
        <f>C55&amp;"|"&amp;Y55</f>
        <v/>
      </c>
      <c r="AA55" s="116">
        <f>E55&amp;"|"&amp;Y55</f>
        <v/>
      </c>
    </row>
    <row r="56" ht="15" customHeight="1" s="95">
      <c r="A56" s="116" t="inlineStr">
        <is>
          <t>MAT-BT-002</t>
        </is>
      </c>
      <c r="B56" s="116" t="inlineStr">
        <is>
          <t>active</t>
        </is>
      </c>
      <c r="C56" s="116" t="inlineStr">
        <is>
          <t>bath_tile</t>
        </is>
      </c>
      <c r="D56" s="118" t="inlineStr">
        <is>
          <t>타일</t>
        </is>
      </c>
      <c r="E56" s="116" t="inlineStr">
        <is>
          <t>600각</t>
        </is>
      </c>
      <c r="F56" s="116" t="inlineStr">
        <is>
          <t>포세린</t>
        </is>
      </c>
      <c r="G56" s="116" t="inlineStr">
        <is>
          <t>600</t>
        </is>
      </c>
      <c r="H56" s="129" t="inlineStr">
        <is>
          <t>600×600각 포세린 타일 (자재만, 인건비는 통합 타일팀)</t>
        </is>
      </c>
      <c r="I56" s="116" t="inlineStr">
        <is>
          <t>표준, 주력</t>
        </is>
      </c>
      <c r="J56" s="116" t="inlineStr">
        <is>
          <t>per_m2</t>
        </is>
      </c>
      <c r="K56" s="165" t="n">
        <v>30000</v>
      </c>
      <c r="L56" s="165" t="n">
        <v>0</v>
      </c>
      <c r="M56" s="165">
        <f>K56+L56</f>
        <v/>
      </c>
      <c r="N56" s="116" t="inlineStr">
        <is>
          <t>시장 시세 검증 (2026-05)</t>
        </is>
      </c>
      <c r="O56" s="116" t="inlineStr">
        <is>
          <t>2026-05</t>
        </is>
      </c>
      <c r="P56" s="116" t="inlineStr">
        <is>
          <t>operator</t>
        </is>
      </c>
      <c r="Q56" s="174" t="n"/>
      <c r="R56" s="174" t="n"/>
      <c r="S56" s="174" t="n"/>
      <c r="T56" s="174" t="n"/>
      <c r="U56" s="174" t="n"/>
      <c r="V56" s="174" t="n"/>
      <c r="W56" s="174" t="n"/>
      <c r="X56" s="116" t="inlineStr">
        <is>
          <t>오늘의집·셀인카페 (포세린 600각)</t>
        </is>
      </c>
      <c r="Y56" s="143">
        <f>LEFT(I56,FIND(",",I56&amp;",")-1)</f>
        <v/>
      </c>
      <c r="Z56" s="116">
        <f>C56&amp;"|"&amp;Y56</f>
        <v/>
      </c>
      <c r="AA56" s="116">
        <f>E56&amp;"|"&amp;Y56</f>
        <v/>
      </c>
    </row>
    <row r="57" ht="15" customHeight="1" s="95">
      <c r="A57" s="116" t="inlineStr">
        <is>
          <t>MAT-BT-003</t>
        </is>
      </c>
      <c r="B57" s="116" t="inlineStr">
        <is>
          <t>active</t>
        </is>
      </c>
      <c r="C57" s="116" t="inlineStr">
        <is>
          <t>bath_tile</t>
        </is>
      </c>
      <c r="D57" s="118" t="inlineStr">
        <is>
          <t>타일</t>
        </is>
      </c>
      <c r="E57" s="116" t="inlineStr">
        <is>
          <t>900각</t>
        </is>
      </c>
      <c r="F57" s="116" t="inlineStr">
        <is>
          <t>포세린</t>
        </is>
      </c>
      <c r="G57" s="116" t="inlineStr">
        <is>
          <t>900</t>
        </is>
      </c>
      <c r="H57" s="129" t="inlineStr">
        <is>
          <t>900×900각 포세린 대형 타일 (자재만, 인건비는 통합 타일팀)</t>
        </is>
      </c>
      <c r="I57" s="116" t="inlineStr">
        <is>
          <t>고급, 주력</t>
        </is>
      </c>
      <c r="J57" s="116" t="inlineStr">
        <is>
          <t>per_m2</t>
        </is>
      </c>
      <c r="K57" s="165" t="n">
        <v>42000</v>
      </c>
      <c r="L57" s="165" t="n">
        <v>0</v>
      </c>
      <c r="M57" s="165">
        <f>K57+L57</f>
        <v/>
      </c>
      <c r="N57" s="116" t="inlineStr">
        <is>
          <t>시장 시세 검증 (2026-05)</t>
        </is>
      </c>
      <c r="O57" s="116" t="inlineStr">
        <is>
          <t>2026-05</t>
        </is>
      </c>
      <c r="P57" s="116" t="inlineStr">
        <is>
          <t>operator</t>
        </is>
      </c>
      <c r="Q57" s="174" t="n"/>
      <c r="R57" s="174" t="n"/>
      <c r="S57" s="174" t="n"/>
      <c r="T57" s="174" t="n"/>
      <c r="U57" s="174" t="n"/>
      <c r="V57" s="174" t="n"/>
      <c r="W57" s="174" t="n"/>
      <c r="X57" s="116" t="inlineStr">
        <is>
          <t>오늘의집·셀인카페 (포세린 900각)</t>
        </is>
      </c>
      <c r="Y57" s="143">
        <f>LEFT(I57,FIND(",",I57&amp;",")-1)</f>
        <v/>
      </c>
      <c r="Z57" s="116">
        <f>C57&amp;"|"&amp;Y57</f>
        <v/>
      </c>
      <c r="AA57" s="116">
        <f>E57&amp;"|"&amp;Y57</f>
        <v/>
      </c>
    </row>
    <row r="58" ht="15" customHeight="1" s="95">
      <c r="A58" s="116" t="inlineStr">
        <is>
          <t>MAT-BZ-001</t>
        </is>
      </c>
      <c r="B58" s="116" t="inlineStr">
        <is>
          <t>active</t>
        </is>
      </c>
      <c r="C58" s="116" t="inlineStr">
        <is>
          <t>bath_tile_method</t>
        </is>
      </c>
      <c r="D58" s="118" t="inlineStr">
        <is>
          <t>타일</t>
        </is>
      </c>
      <c r="E58" s="116" t="inlineStr">
        <is>
          <t>코너비드</t>
        </is>
      </c>
      <c r="F58" s="116" t="inlineStr">
        <is>
          <t>현장시공</t>
        </is>
      </c>
      <c r="G58" s="116" t="inlineStr">
        <is>
          <t>코너비드</t>
        </is>
      </c>
      <c r="H58" s="129" t="inlineStr">
        <is>
          <t>코너비드 마감 (둘레 m, 인건비는 통합 타일팀에 포함)</t>
        </is>
      </c>
      <c r="I58" s="116" t="inlineStr">
        <is>
          <t>가성비, 주력</t>
        </is>
      </c>
      <c r="J58" s="116" t="inlineStr">
        <is>
          <t>per_m</t>
        </is>
      </c>
      <c r="K58" s="165" t="n">
        <v>0</v>
      </c>
      <c r="L58" s="165" t="n">
        <v>0</v>
      </c>
      <c r="M58" s="165">
        <f>K58+L58</f>
        <v/>
      </c>
      <c r="N58" s="116" t="inlineStr">
        <is>
          <t>시장가 추정</t>
        </is>
      </c>
      <c r="O58" s="116" t="inlineStr">
        <is>
          <t>2026-04</t>
        </is>
      </c>
      <c r="P58" s="116" t="inlineStr">
        <is>
          <t>operator</t>
        </is>
      </c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43">
        <f>LEFT(I58,FIND(",",I58&amp;",")-1)</f>
        <v/>
      </c>
      <c r="Z58" s="116">
        <f>C58&amp;"|"&amp;Y58</f>
        <v/>
      </c>
      <c r="AA58" s="116">
        <f>E58&amp;"|"&amp;Y58</f>
        <v/>
      </c>
    </row>
    <row r="59" ht="15" customHeight="1" s="95">
      <c r="A59" s="116" t="inlineStr">
        <is>
          <t>MAT-BZ-002</t>
        </is>
      </c>
      <c r="B59" s="116" t="inlineStr">
        <is>
          <t>active</t>
        </is>
      </c>
      <c r="C59" s="116" t="inlineStr">
        <is>
          <t>bath_tile_method</t>
        </is>
      </c>
      <c r="D59" s="118" t="inlineStr">
        <is>
          <t>타일</t>
        </is>
      </c>
      <c r="E59" s="116" t="inlineStr">
        <is>
          <t>졸리컷</t>
        </is>
      </c>
      <c r="F59" s="116" t="inlineStr">
        <is>
          <t>현장시공</t>
        </is>
      </c>
      <c r="G59" s="116" t="inlineStr">
        <is>
          <t>졸리컷</t>
        </is>
      </c>
      <c r="H59" s="129" t="inlineStr">
        <is>
          <t>졸리컷 정밀 마감 (둘레 m, 인건비는 통합 타일팀에 포함)</t>
        </is>
      </c>
      <c r="I59" s="116" t="inlineStr">
        <is>
          <t>표준, 주력</t>
        </is>
      </c>
      <c r="J59" s="116" t="inlineStr">
        <is>
          <t>per_m</t>
        </is>
      </c>
      <c r="K59" s="165" t="n">
        <v>0</v>
      </c>
      <c r="L59" s="165" t="n">
        <v>0</v>
      </c>
      <c r="M59" s="165">
        <f>K59+L59</f>
        <v/>
      </c>
      <c r="N59" s="116" t="inlineStr">
        <is>
          <t>시장가 추정</t>
        </is>
      </c>
      <c r="O59" s="116" t="inlineStr">
        <is>
          <t>2026-04</t>
        </is>
      </c>
      <c r="P59" s="116" t="inlineStr">
        <is>
          <t>operator</t>
        </is>
      </c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43">
        <f>LEFT(I59,FIND(",",I59&amp;",")-1)</f>
        <v/>
      </c>
      <c r="Z59" s="116">
        <f>C59&amp;"|"&amp;Y59</f>
        <v/>
      </c>
      <c r="AA59" s="116">
        <f>E59&amp;"|"&amp;Y59</f>
        <v/>
      </c>
    </row>
    <row r="60" ht="15" customHeight="1" s="95">
      <c r="A60" s="116" t="inlineStr">
        <is>
          <t>MAT-BZ-003</t>
        </is>
      </c>
      <c r="B60" s="116" t="inlineStr">
        <is>
          <t>active</t>
        </is>
      </c>
      <c r="C60" s="116" t="inlineStr">
        <is>
          <t>bath_tile_method</t>
        </is>
      </c>
      <c r="D60" s="118" t="inlineStr">
        <is>
          <t>타일</t>
        </is>
      </c>
      <c r="E60" s="116" t="inlineStr">
        <is>
          <t>졸리컷+</t>
        </is>
      </c>
      <c r="F60" s="116" t="inlineStr">
        <is>
          <t>현장시공</t>
        </is>
      </c>
      <c r="G60" s="116" t="inlineStr">
        <is>
          <t>졸리컷광택</t>
        </is>
      </c>
      <c r="H60" s="129" t="inlineStr">
        <is>
          <t>졸리컷+광택 마감 (둘레 m, 인건비는 통합 타일팀에 포함)</t>
        </is>
      </c>
      <c r="I60" s="116" t="inlineStr">
        <is>
          <t>고급, 주력</t>
        </is>
      </c>
      <c r="J60" s="116" t="inlineStr">
        <is>
          <t>per_m</t>
        </is>
      </c>
      <c r="K60" s="165" t="n">
        <v>0</v>
      </c>
      <c r="L60" s="165" t="n">
        <v>0</v>
      </c>
      <c r="M60" s="165">
        <f>K60+L60</f>
        <v/>
      </c>
      <c r="N60" s="116" t="inlineStr">
        <is>
          <t>시장가 추정</t>
        </is>
      </c>
      <c r="O60" s="116" t="inlineStr">
        <is>
          <t>2026-04</t>
        </is>
      </c>
      <c r="P60" s="116" t="inlineStr">
        <is>
          <t>operator</t>
        </is>
      </c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43">
        <f>LEFT(I60,FIND(",",I60&amp;",")-1)</f>
        <v/>
      </c>
      <c r="Z60" s="116">
        <f>C60&amp;"|"&amp;Y60</f>
        <v/>
      </c>
      <c r="AA60" s="116">
        <f>E60&amp;"|"&amp;Y60</f>
        <v/>
      </c>
    </row>
    <row r="61" ht="15" customHeight="1" s="95">
      <c r="A61" s="116" t="inlineStr">
        <is>
          <t>MAT-BU-001</t>
        </is>
      </c>
      <c r="B61" s="116" t="inlineStr">
        <is>
          <t>active</t>
        </is>
      </c>
      <c r="C61" s="116" t="inlineStr">
        <is>
          <t>bath_grout</t>
        </is>
      </c>
      <c r="D61" s="118" t="inlineStr">
        <is>
          <t>타일</t>
        </is>
      </c>
      <c r="E61" s="116" t="inlineStr">
        <is>
          <t>백시멘트</t>
        </is>
      </c>
      <c r="F61" s="116" t="inlineStr">
        <is>
          <t>현장시공</t>
        </is>
      </c>
      <c r="G61" s="116" t="inlineStr">
        <is>
          <t>백시멘트</t>
        </is>
      </c>
      <c r="H61" s="118" t="inlineStr">
        <is>
          <t>일반 백시멘트 줄눈 자재 (시공은 타일팀)</t>
        </is>
      </c>
      <c r="I61" s="116" t="inlineStr">
        <is>
          <t>가성비, 주력</t>
        </is>
      </c>
      <c r="J61" s="116" t="inlineStr">
        <is>
          <t>per_m2</t>
        </is>
      </c>
      <c r="K61" s="165" t="n">
        <v>1500</v>
      </c>
      <c r="L61" s="165" t="n">
        <v>0</v>
      </c>
      <c r="M61" s="165">
        <f>K61+L61</f>
        <v/>
      </c>
      <c r="N61" s="116" t="inlineStr">
        <is>
          <t>시장가 추정</t>
        </is>
      </c>
      <c r="O61" s="116" t="inlineStr">
        <is>
          <t>2026-04</t>
        </is>
      </c>
      <c r="P61" s="116" t="inlineStr">
        <is>
          <t>operator</t>
        </is>
      </c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43">
        <f>LEFT(I61,FIND(",",I61&amp;",")-1)</f>
        <v/>
      </c>
      <c r="Z61" s="116">
        <f>C61&amp;"|"&amp;Y61</f>
        <v/>
      </c>
      <c r="AA61" s="116">
        <f>E61&amp;"|"&amp;Y61</f>
        <v/>
      </c>
    </row>
    <row r="62" ht="15" customHeight="1" s="95">
      <c r="A62" s="116" t="inlineStr">
        <is>
          <t>MAT-BU-002</t>
        </is>
      </c>
      <c r="B62" s="116" t="inlineStr">
        <is>
          <t>active</t>
        </is>
      </c>
      <c r="C62" s="116" t="inlineStr">
        <is>
          <t>bath_grout</t>
        </is>
      </c>
      <c r="D62" s="118" t="inlineStr">
        <is>
          <t>타일</t>
        </is>
      </c>
      <c r="E62" s="116" t="inlineStr">
        <is>
          <t>아덱스FG4</t>
        </is>
      </c>
      <c r="F62" s="116" t="inlineStr">
        <is>
          <t>아덱스</t>
        </is>
      </c>
      <c r="G62" s="116" t="inlineStr">
        <is>
          <t>FG4</t>
        </is>
      </c>
      <c r="H62" s="129" t="inlineStr">
        <is>
          <t>아덱스 FG4 시멘트계 줄눈 자재 (시공은 타일팀)</t>
        </is>
      </c>
      <c r="I62" s="116" t="inlineStr">
        <is>
          <t>표준, 주력</t>
        </is>
      </c>
      <c r="J62" s="116" t="inlineStr">
        <is>
          <t>per_m2</t>
        </is>
      </c>
      <c r="K62" s="165" t="n">
        <v>4000</v>
      </c>
      <c r="L62" s="165" t="n">
        <v>0</v>
      </c>
      <c r="M62" s="165">
        <f>K62+L62</f>
        <v/>
      </c>
      <c r="N62" s="116" t="inlineStr">
        <is>
          <t>시장가 추정</t>
        </is>
      </c>
      <c r="O62" s="116" t="inlineStr">
        <is>
          <t>2026-04</t>
        </is>
      </c>
      <c r="P62" s="116" t="inlineStr">
        <is>
          <t>operator</t>
        </is>
      </c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43">
        <f>LEFT(I62,FIND(",",I62&amp;",")-1)</f>
        <v/>
      </c>
      <c r="Z62" s="116">
        <f>C62&amp;"|"&amp;Y62</f>
        <v/>
      </c>
      <c r="AA62" s="116">
        <f>E62&amp;"|"&amp;Y62</f>
        <v/>
      </c>
    </row>
    <row r="63" ht="15" customHeight="1" s="95">
      <c r="A63" s="116" t="inlineStr">
        <is>
          <t>MAT-BU-003</t>
        </is>
      </c>
      <c r="B63" s="116" t="inlineStr">
        <is>
          <t>active</t>
        </is>
      </c>
      <c r="C63" s="116" t="inlineStr">
        <is>
          <t>bath_grout</t>
        </is>
      </c>
      <c r="D63" s="118" t="inlineStr">
        <is>
          <t>타일</t>
        </is>
      </c>
      <c r="E63" s="116" t="inlineStr">
        <is>
          <t>케라폭시</t>
        </is>
      </c>
      <c r="F63" s="116" t="inlineStr">
        <is>
          <t>MAPEI</t>
        </is>
      </c>
      <c r="G63" s="116" t="inlineStr">
        <is>
          <t>Kerapoxy</t>
        </is>
      </c>
      <c r="H63" s="129" t="inlineStr">
        <is>
          <t>MAPEI Kerapoxy 에폭시 줄눈 자재 (시공은 타일팀)</t>
        </is>
      </c>
      <c r="I63" s="116" t="inlineStr">
        <is>
          <t>고급, 주력</t>
        </is>
      </c>
      <c r="J63" s="116" t="inlineStr">
        <is>
          <t>per_m2</t>
        </is>
      </c>
      <c r="K63" s="165" t="n">
        <v>30000</v>
      </c>
      <c r="L63" s="165" t="n">
        <v>0</v>
      </c>
      <c r="M63" s="165">
        <f>K63+L63</f>
        <v/>
      </c>
      <c r="N63" s="116" t="inlineStr">
        <is>
          <t>시장가 추정</t>
        </is>
      </c>
      <c r="O63" s="116" t="inlineStr">
        <is>
          <t>2026-04</t>
        </is>
      </c>
      <c r="P63" s="116" t="inlineStr">
        <is>
          <t>operator</t>
        </is>
      </c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43">
        <f>LEFT(I63,FIND(",",I63&amp;",")-1)</f>
        <v/>
      </c>
      <c r="Z63" s="116">
        <f>C63&amp;"|"&amp;Y63</f>
        <v/>
      </c>
      <c r="AA63" s="116">
        <f>E63&amp;"|"&amp;Y63</f>
        <v/>
      </c>
    </row>
    <row r="64" ht="15" customHeight="1" s="95">
      <c r="A64" s="116" t="inlineStr">
        <is>
          <t>MAT-BP-001</t>
        </is>
      </c>
      <c r="B64" s="116" t="inlineStr">
        <is>
          <t>active</t>
        </is>
      </c>
      <c r="C64" s="116" t="inlineStr">
        <is>
          <t>bath_brick</t>
        </is>
      </c>
      <c r="D64" s="118" t="inlineStr">
        <is>
          <t>조적/방수</t>
        </is>
      </c>
      <c r="E64" s="116" t="inlineStr">
        <is>
          <t>조적</t>
        </is>
      </c>
      <c r="F64" s="116" t="inlineStr">
        <is>
          <t>현장시공</t>
        </is>
      </c>
      <c r="G64" s="116" t="inlineStr">
        <is>
          <t>조적</t>
        </is>
      </c>
      <c r="H64" s="118" t="inlineStr">
        <is>
          <t>벽돌 조적 + 페인트 마감</t>
        </is>
      </c>
      <c r="I64" s="116" t="inlineStr">
        <is>
          <t>가성비, 주력</t>
        </is>
      </c>
      <c r="J64" s="116" t="inlineStr">
        <is>
          <t>per_ea</t>
        </is>
      </c>
      <c r="K64" s="165" t="n">
        <v>350000</v>
      </c>
      <c r="L64" s="165" t="n">
        <v>250000</v>
      </c>
      <c r="M64" s="165">
        <f>K64+L64</f>
        <v/>
      </c>
      <c r="N64" s="116" t="inlineStr">
        <is>
          <t>시장가 추정</t>
        </is>
      </c>
      <c r="O64" s="116" t="inlineStr">
        <is>
          <t>2026-04</t>
        </is>
      </c>
      <c r="P64" s="116" t="inlineStr">
        <is>
          <t>operator</t>
        </is>
      </c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43">
        <f>LEFT(I64,FIND(",",I64&amp;",")-1)</f>
        <v/>
      </c>
      <c r="Z64" s="116">
        <f>C64&amp;"|"&amp;Y64</f>
        <v/>
      </c>
      <c r="AA64" s="116">
        <f>E64&amp;"|"&amp;Y64</f>
        <v/>
      </c>
    </row>
    <row r="65" ht="15" customHeight="1" s="95">
      <c r="A65" s="116" t="inlineStr">
        <is>
          <t>MAT-BP-002</t>
        </is>
      </c>
      <c r="B65" s="116" t="inlineStr">
        <is>
          <t>active</t>
        </is>
      </c>
      <c r="C65" s="116" t="inlineStr">
        <is>
          <t>bath_partition</t>
        </is>
      </c>
      <c r="D65" s="118" t="inlineStr">
        <is>
          <t>유리</t>
        </is>
      </c>
      <c r="E65" s="116" t="inlineStr">
        <is>
          <t>유리슬라이딩</t>
        </is>
      </c>
      <c r="F65" s="116" t="inlineStr">
        <is>
          <t>유리시공</t>
        </is>
      </c>
      <c r="G65" s="116" t="inlineStr">
        <is>
          <t>슬라이딩</t>
        </is>
      </c>
      <c r="H65" s="118" t="inlineStr">
        <is>
          <t>유리 슬라이딩 도어 파티션</t>
        </is>
      </c>
      <c r="I65" s="116" t="inlineStr">
        <is>
          <t>표준, 주력</t>
        </is>
      </c>
      <c r="J65" s="116" t="inlineStr">
        <is>
          <t>per_ea</t>
        </is>
      </c>
      <c r="K65" s="165" t="n">
        <v>750000</v>
      </c>
      <c r="L65" s="165" t="n">
        <v>320000</v>
      </c>
      <c r="M65" s="165">
        <f>K65+L65</f>
        <v/>
      </c>
      <c r="N65" s="116" t="inlineStr">
        <is>
          <t>시장가 추정</t>
        </is>
      </c>
      <c r="O65" s="116" t="inlineStr">
        <is>
          <t>2026-04</t>
        </is>
      </c>
      <c r="P65" s="116" t="inlineStr">
        <is>
          <t>operator</t>
        </is>
      </c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43">
        <f>LEFT(I65,FIND(",",I65&amp;",")-1)</f>
        <v/>
      </c>
      <c r="Z65" s="116">
        <f>C65&amp;"|"&amp;Y65</f>
        <v/>
      </c>
      <c r="AA65" s="116">
        <f>E65&amp;"|"&amp;Y65</f>
        <v/>
      </c>
    </row>
    <row r="66" ht="15" customHeight="1" s="95">
      <c r="A66" s="116" t="inlineStr">
        <is>
          <t>MAT-BP-003</t>
        </is>
      </c>
      <c r="B66" s="116" t="inlineStr">
        <is>
          <t>active</t>
        </is>
      </c>
      <c r="C66" s="116" t="inlineStr">
        <is>
          <t>bath_partition</t>
        </is>
      </c>
      <c r="D66" s="118" t="inlineStr">
        <is>
          <t>유리</t>
        </is>
      </c>
      <c r="E66" s="116" t="inlineStr">
        <is>
          <t>유리무프레임</t>
        </is>
      </c>
      <c r="F66" s="116" t="inlineStr">
        <is>
          <t>유리시공</t>
        </is>
      </c>
      <c r="G66" s="116" t="inlineStr">
        <is>
          <t>무프레임</t>
        </is>
      </c>
      <c r="H66" s="118" t="inlineStr">
        <is>
          <t>워크인 유리 무프레임 파티션</t>
        </is>
      </c>
      <c r="I66" s="116" t="inlineStr">
        <is>
          <t>고급, 주력</t>
        </is>
      </c>
      <c r="J66" s="116" t="inlineStr">
        <is>
          <t>per_ea</t>
        </is>
      </c>
      <c r="K66" s="165" t="n">
        <v>1250000</v>
      </c>
      <c r="L66" s="165" t="n">
        <v>450000</v>
      </c>
      <c r="M66" s="165">
        <f>K66+L66</f>
        <v/>
      </c>
      <c r="N66" s="116" t="inlineStr">
        <is>
          <t>시장가 추정</t>
        </is>
      </c>
      <c r="O66" s="116" t="inlineStr">
        <is>
          <t>2026-04</t>
        </is>
      </c>
      <c r="P66" s="116" t="inlineStr">
        <is>
          <t>operator</t>
        </is>
      </c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43">
        <f>LEFT(I66,FIND(",",I66&amp;",")-1)</f>
        <v/>
      </c>
      <c r="Z66" s="116">
        <f>C66&amp;"|"&amp;Y66</f>
        <v/>
      </c>
      <c r="AA66" s="116">
        <f>E66&amp;"|"&amp;Y66</f>
        <v/>
      </c>
    </row>
    <row r="67" ht="15" customHeight="1" s="95">
      <c r="A67" s="116" t="inlineStr">
        <is>
          <t>MAT-BG-001</t>
        </is>
      </c>
      <c r="B67" s="116" t="inlineStr">
        <is>
          <t>active</t>
        </is>
      </c>
      <c r="C67" s="116" t="inlineStr">
        <is>
          <t>bath_ceiling</t>
        </is>
      </c>
      <c r="D67" s="118" t="inlineStr">
        <is>
          <t>욕실</t>
        </is>
      </c>
      <c r="E67" s="116" t="inlineStr">
        <is>
          <t>SMC</t>
        </is>
      </c>
      <c r="F67" s="116" t="inlineStr">
        <is>
          <t>사제</t>
        </is>
      </c>
      <c r="G67" s="116" t="inlineStr">
        <is>
          <t>SMC</t>
        </is>
      </c>
      <c r="H67" s="129" t="inlineStr">
        <is>
          <t>SMC 욕실 천정 마감 + 단열·방수 (자재만)</t>
        </is>
      </c>
      <c r="I67" s="116" t="inlineStr">
        <is>
          <t>가성비, 주력</t>
        </is>
      </c>
      <c r="J67" s="116" t="inlineStr">
        <is>
          <t>per_m2</t>
        </is>
      </c>
      <c r="K67" s="165" t="n">
        <v>50000</v>
      </c>
      <c r="L67" s="165" t="n">
        <v>0</v>
      </c>
      <c r="M67" s="165">
        <f>K67+L67</f>
        <v/>
      </c>
      <c r="N67" s="116" t="inlineStr">
        <is>
          <t>시장가 추정</t>
        </is>
      </c>
      <c r="O67" s="116" t="inlineStr">
        <is>
          <t>2026-04</t>
        </is>
      </c>
      <c r="P67" s="116" t="inlineStr">
        <is>
          <t>operator</t>
        </is>
      </c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43">
        <f>LEFT(I67,FIND(",",I67&amp;",")-1)</f>
        <v/>
      </c>
      <c r="Z67" s="116">
        <f>C67&amp;"|"&amp;Y67</f>
        <v/>
      </c>
      <c r="AA67" s="116">
        <f>E67&amp;"|"&amp;Y67</f>
        <v/>
      </c>
    </row>
    <row r="68" ht="15" customHeight="1" s="95">
      <c r="A68" s="116" t="inlineStr">
        <is>
          <t>MAT-BG-002</t>
        </is>
      </c>
      <c r="B68" s="116" t="inlineStr">
        <is>
          <t>active</t>
        </is>
      </c>
      <c r="C68" s="116" t="inlineStr">
        <is>
          <t>bath_ceiling</t>
        </is>
      </c>
      <c r="D68" s="118" t="inlineStr">
        <is>
          <t>욕실</t>
        </is>
      </c>
      <c r="E68" s="116" t="inlineStr">
        <is>
          <t>이노솔</t>
        </is>
      </c>
      <c r="F68" s="116" t="inlineStr">
        <is>
          <t>사제</t>
        </is>
      </c>
      <c r="G68" s="116" t="inlineStr">
        <is>
          <t>이노솔</t>
        </is>
      </c>
      <c r="H68" s="129" t="inlineStr">
        <is>
          <t>이노솔 욕실 천정 마감 + 단열·방수 (자재만)</t>
        </is>
      </c>
      <c r="I68" s="116" t="inlineStr">
        <is>
          <t>표준, 주력</t>
        </is>
      </c>
      <c r="J68" s="116" t="inlineStr">
        <is>
          <t>per_m2</t>
        </is>
      </c>
      <c r="K68" s="165" t="n">
        <v>75000</v>
      </c>
      <c r="L68" s="165" t="n">
        <v>0</v>
      </c>
      <c r="M68" s="165">
        <f>K68+L68</f>
        <v/>
      </c>
      <c r="N68" s="116" t="inlineStr">
        <is>
          <t>시장가 추정</t>
        </is>
      </c>
      <c r="O68" s="116" t="inlineStr">
        <is>
          <t>2026-04</t>
        </is>
      </c>
      <c r="P68" s="116" t="inlineStr">
        <is>
          <t>operator</t>
        </is>
      </c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43">
        <f>LEFT(I68,FIND(",",I68&amp;",")-1)</f>
        <v/>
      </c>
      <c r="Z68" s="116">
        <f>C68&amp;"|"&amp;Y68</f>
        <v/>
      </c>
      <c r="AA68" s="116">
        <f>E68&amp;"|"&amp;Y68</f>
        <v/>
      </c>
    </row>
    <row r="69" ht="15" customHeight="1" s="95">
      <c r="A69" s="116" t="inlineStr">
        <is>
          <t>MAT-BG-003</t>
        </is>
      </c>
      <c r="B69" s="116" t="inlineStr">
        <is>
          <t>active</t>
        </is>
      </c>
      <c r="C69" s="116" t="inlineStr">
        <is>
          <t>bath_ceiling</t>
        </is>
      </c>
      <c r="D69" s="118" t="inlineStr">
        <is>
          <t>욕실</t>
        </is>
      </c>
      <c r="E69" s="116" t="inlineStr">
        <is>
          <t>석고도장</t>
        </is>
      </c>
      <c r="F69" s="116" t="inlineStr">
        <is>
          <t>현장시공</t>
        </is>
      </c>
      <c r="G69" s="116" t="inlineStr">
        <is>
          <t>석고도장</t>
        </is>
      </c>
      <c r="H69" s="129" t="inlineStr">
        <is>
          <t>석고보드위 도장 + 단열·방수 보강 (자재만)</t>
        </is>
      </c>
      <c r="I69" s="116" t="inlineStr">
        <is>
          <t>고급, 주력</t>
        </is>
      </c>
      <c r="J69" s="116" t="inlineStr">
        <is>
          <t>per_m2</t>
        </is>
      </c>
      <c r="K69" s="165" t="n">
        <v>110000</v>
      </c>
      <c r="L69" s="165" t="n">
        <v>0</v>
      </c>
      <c r="M69" s="165">
        <f>K69+L69</f>
        <v/>
      </c>
      <c r="N69" s="116" t="inlineStr">
        <is>
          <t>시장가 추정</t>
        </is>
      </c>
      <c r="O69" s="116" t="inlineStr">
        <is>
          <t>2026-04</t>
        </is>
      </c>
      <c r="P69" s="116" t="inlineStr">
        <is>
          <t>operator</t>
        </is>
      </c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43">
        <f>LEFT(I69,FIND(",",I69&amp;",")-1)</f>
        <v/>
      </c>
      <c r="Z69" s="116">
        <f>C69&amp;"|"&amp;Y69</f>
        <v/>
      </c>
      <c r="AA69" s="116">
        <f>E69&amp;"|"&amp;Y69</f>
        <v/>
      </c>
    </row>
    <row r="70" ht="15" customHeight="1" s="95">
      <c r="A70" s="116" t="inlineStr">
        <is>
          <t>MAT-BS-001</t>
        </is>
      </c>
      <c r="B70" s="116" t="inlineStr">
        <is>
          <t>active</t>
        </is>
      </c>
      <c r="C70" s="116" t="inlineStr">
        <is>
          <t>bath_basin</t>
        </is>
      </c>
      <c r="D70" s="118" t="inlineStr">
        <is>
          <t>욕실</t>
        </is>
      </c>
      <c r="E70" s="116" t="inlineStr">
        <is>
          <t>이누스</t>
        </is>
      </c>
      <c r="F70" s="116" t="inlineStr">
        <is>
          <t>이누스</t>
        </is>
      </c>
      <c r="G70" s="116" t="inlineStr">
        <is>
          <t>베이직</t>
        </is>
      </c>
      <c r="H70" s="118" t="inlineStr">
        <is>
          <t>이누스 베이직 세면대 + 거울 (자재만)</t>
        </is>
      </c>
      <c r="I70" s="116" t="inlineStr">
        <is>
          <t>가성비, 주력</t>
        </is>
      </c>
      <c r="J70" s="116" t="inlineStr">
        <is>
          <t>per_ea</t>
        </is>
      </c>
      <c r="K70" s="165" t="n">
        <v>280000</v>
      </c>
      <c r="L70" s="165" t="n">
        <v>0</v>
      </c>
      <c r="M70" s="165">
        <f>K70+L70</f>
        <v/>
      </c>
      <c r="N70" s="116" t="inlineStr">
        <is>
          <t>시장가 추정</t>
        </is>
      </c>
      <c r="O70" s="116" t="inlineStr">
        <is>
          <t>2026-04</t>
        </is>
      </c>
      <c r="P70" s="116" t="inlineStr">
        <is>
          <t>operator</t>
        </is>
      </c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43">
        <f>LEFT(I70,FIND(",",I70&amp;",")-1)</f>
        <v/>
      </c>
      <c r="Z70" s="116">
        <f>C70&amp;"|"&amp;Y70</f>
        <v/>
      </c>
      <c r="AA70" s="116">
        <f>E70&amp;"|"&amp;Y70</f>
        <v/>
      </c>
    </row>
    <row r="71" ht="15" customHeight="1" s="95">
      <c r="A71" s="116" t="inlineStr">
        <is>
          <t>MAT-BS-002</t>
        </is>
      </c>
      <c r="B71" s="116" t="inlineStr">
        <is>
          <t>active</t>
        </is>
      </c>
      <c r="C71" s="116" t="inlineStr">
        <is>
          <t>bath_basin</t>
        </is>
      </c>
      <c r="D71" s="118" t="inlineStr">
        <is>
          <t>욕실</t>
        </is>
      </c>
      <c r="E71" s="116" t="inlineStr">
        <is>
          <t>대림바스</t>
        </is>
      </c>
      <c r="F71" s="116" t="inlineStr">
        <is>
          <t>대림바스</t>
        </is>
      </c>
      <c r="G71" s="116" t="inlineStr">
        <is>
          <t>마디스</t>
        </is>
      </c>
      <c r="H71" s="118" t="inlineStr">
        <is>
          <t>대림바스 마디스 세면대 + 거울 (자재만)</t>
        </is>
      </c>
      <c r="I71" s="116" t="inlineStr">
        <is>
          <t>표준, 주력</t>
        </is>
      </c>
      <c r="J71" s="116" t="inlineStr">
        <is>
          <t>per_ea</t>
        </is>
      </c>
      <c r="K71" s="165" t="n">
        <v>650000</v>
      </c>
      <c r="L71" s="165" t="n">
        <v>0</v>
      </c>
      <c r="M71" s="165">
        <f>K71+L71</f>
        <v/>
      </c>
      <c r="N71" s="116" t="inlineStr">
        <is>
          <t>시장가 추정</t>
        </is>
      </c>
      <c r="O71" s="116" t="inlineStr">
        <is>
          <t>2026-04</t>
        </is>
      </c>
      <c r="P71" s="116" t="inlineStr">
        <is>
          <t>operator</t>
        </is>
      </c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43">
        <f>LEFT(I71,FIND(",",I71&amp;",")-1)</f>
        <v/>
      </c>
      <c r="Z71" s="116">
        <f>C71&amp;"|"&amp;Y71</f>
        <v/>
      </c>
      <c r="AA71" s="116">
        <f>E71&amp;"|"&amp;Y71</f>
        <v/>
      </c>
    </row>
    <row r="72" ht="15" customHeight="1" s="95">
      <c r="A72" s="116" t="inlineStr">
        <is>
          <t>MAT-BS-003</t>
        </is>
      </c>
      <c r="B72" s="116" t="inlineStr">
        <is>
          <t>active</t>
        </is>
      </c>
      <c r="C72" s="116" t="inlineStr">
        <is>
          <t>bath_basin</t>
        </is>
      </c>
      <c r="D72" s="118" t="inlineStr">
        <is>
          <t>욕실</t>
        </is>
      </c>
      <c r="E72" s="116" t="inlineStr">
        <is>
          <t>아메리칸</t>
        </is>
      </c>
      <c r="F72" s="116" t="inlineStr">
        <is>
          <t>아메리칸스탠다드</t>
        </is>
      </c>
      <c r="G72" s="116" t="inlineStr">
        <is>
          <t>프리미엄</t>
        </is>
      </c>
      <c r="H72" s="118" t="inlineStr">
        <is>
          <t>아메리칸스탠다드 세면대 + 거울 (자재만)</t>
        </is>
      </c>
      <c r="I72" s="116" t="inlineStr">
        <is>
          <t>고급, 주력</t>
        </is>
      </c>
      <c r="J72" s="116" t="inlineStr">
        <is>
          <t>per_ea</t>
        </is>
      </c>
      <c r="K72" s="165" t="n">
        <v>850000</v>
      </c>
      <c r="L72" s="165" t="n">
        <v>0</v>
      </c>
      <c r="M72" s="165">
        <f>K72+L72</f>
        <v/>
      </c>
      <c r="N72" s="116" t="inlineStr">
        <is>
          <t>시장가 추정</t>
        </is>
      </c>
      <c r="O72" s="116" t="inlineStr">
        <is>
          <t>2026-04</t>
        </is>
      </c>
      <c r="P72" s="116" t="inlineStr">
        <is>
          <t>operator</t>
        </is>
      </c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43">
        <f>LEFT(I72,FIND(",",I72&amp;",")-1)</f>
        <v/>
      </c>
      <c r="Z72" s="116">
        <f>C72&amp;"|"&amp;Y72</f>
        <v/>
      </c>
      <c r="AA72" s="116">
        <f>E72&amp;"|"&amp;Y72</f>
        <v/>
      </c>
    </row>
    <row r="73" ht="15" customHeight="1" s="95">
      <c r="A73" s="116" t="inlineStr">
        <is>
          <t>MAT-BR-001</t>
        </is>
      </c>
      <c r="B73" s="116" t="inlineStr">
        <is>
          <t>active</t>
        </is>
      </c>
      <c r="C73" s="116" t="inlineStr">
        <is>
          <t>bath_faucet</t>
        </is>
      </c>
      <c r="D73" s="118" t="inlineStr">
        <is>
          <t>욕실</t>
        </is>
      </c>
      <c r="E73" s="116" t="inlineStr">
        <is>
          <t>대림</t>
        </is>
      </c>
      <c r="F73" s="116" t="inlineStr">
        <is>
          <t>대림</t>
        </is>
      </c>
      <c r="G73" s="116" t="inlineStr">
        <is>
          <t>일반</t>
        </is>
      </c>
      <c r="H73" s="118" t="inlineStr">
        <is>
          <t>대림 일반 수전 (세면+샤워, 자재만)</t>
        </is>
      </c>
      <c r="I73" s="116" t="inlineStr">
        <is>
          <t>가성비, 주력</t>
        </is>
      </c>
      <c r="J73" s="116" t="inlineStr">
        <is>
          <t>per_ea</t>
        </is>
      </c>
      <c r="K73" s="165" t="n">
        <v>95000</v>
      </c>
      <c r="L73" s="165" t="n">
        <v>0</v>
      </c>
      <c r="M73" s="165">
        <f>K73+L73</f>
        <v/>
      </c>
      <c r="N73" s="116" t="inlineStr">
        <is>
          <t>시장가 추정</t>
        </is>
      </c>
      <c r="O73" s="116" t="inlineStr">
        <is>
          <t>2026-04</t>
        </is>
      </c>
      <c r="P73" s="116" t="inlineStr">
        <is>
          <t>operator</t>
        </is>
      </c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43">
        <f>LEFT(I73,FIND(",",I73&amp;",")-1)</f>
        <v/>
      </c>
      <c r="Z73" s="116">
        <f>C73&amp;"|"&amp;Y73</f>
        <v/>
      </c>
      <c r="AA73" s="116">
        <f>E73&amp;"|"&amp;Y73</f>
        <v/>
      </c>
    </row>
    <row r="74" ht="15" customHeight="1" s="95">
      <c r="A74" s="116" t="inlineStr">
        <is>
          <t>MAT-BR-002</t>
        </is>
      </c>
      <c r="B74" s="116" t="inlineStr">
        <is>
          <t>active</t>
        </is>
      </c>
      <c r="C74" s="116" t="inlineStr">
        <is>
          <t>bath_faucet</t>
        </is>
      </c>
      <c r="D74" s="118" t="inlineStr">
        <is>
          <t>욕실</t>
        </is>
      </c>
      <c r="E74" s="116" t="inlineStr">
        <is>
          <t>이누스</t>
        </is>
      </c>
      <c r="F74" s="116" t="inlineStr">
        <is>
          <t>이누스</t>
        </is>
      </c>
      <c r="G74" s="116" t="inlineStr">
        <is>
          <t>표준</t>
        </is>
      </c>
      <c r="H74" s="129" t="inlineStr">
        <is>
          <t>이누스 표준 수전 세트 (세면+샤워, 자재만)</t>
        </is>
      </c>
      <c r="I74" s="116" t="inlineStr">
        <is>
          <t>표준, 주력</t>
        </is>
      </c>
      <c r="J74" s="116" t="inlineStr">
        <is>
          <t>per_ea</t>
        </is>
      </c>
      <c r="K74" s="165" t="n">
        <v>250000</v>
      </c>
      <c r="L74" s="165" t="n">
        <v>0</v>
      </c>
      <c r="M74" s="165">
        <f>K74+L74</f>
        <v/>
      </c>
      <c r="N74" s="116" t="inlineStr">
        <is>
          <t>시장가 추정</t>
        </is>
      </c>
      <c r="O74" s="116" t="inlineStr">
        <is>
          <t>2026-04</t>
        </is>
      </c>
      <c r="P74" s="116" t="inlineStr">
        <is>
          <t>operator</t>
        </is>
      </c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43">
        <f>LEFT(I74,FIND(",",I74&amp;",")-1)</f>
        <v/>
      </c>
      <c r="Z74" s="116">
        <f>C74&amp;"|"&amp;Y74</f>
        <v/>
      </c>
      <c r="AA74" s="116">
        <f>E74&amp;"|"&amp;Y74</f>
        <v/>
      </c>
    </row>
    <row r="75" ht="15" customHeight="1" s="95">
      <c r="A75" s="116" t="inlineStr">
        <is>
          <t>MAT-BR-003</t>
        </is>
      </c>
      <c r="B75" s="116" t="inlineStr">
        <is>
          <t>active</t>
        </is>
      </c>
      <c r="C75" s="116" t="inlineStr">
        <is>
          <t>bath_faucet</t>
        </is>
      </c>
      <c r="D75" s="118" t="inlineStr">
        <is>
          <t>욕실</t>
        </is>
      </c>
      <c r="E75" s="116" t="inlineStr">
        <is>
          <t>아메리칸</t>
        </is>
      </c>
      <c r="F75" s="116" t="inlineStr">
        <is>
          <t>아메리칸스탠다드</t>
        </is>
      </c>
      <c r="G75" s="116" t="inlineStr">
        <is>
          <t>프리미엄</t>
        </is>
      </c>
      <c r="H75" s="118" t="inlineStr">
        <is>
          <t>아메리칸스탠다드 수전 세트 (자재만)</t>
        </is>
      </c>
      <c r="I75" s="116" t="inlineStr">
        <is>
          <t>고급, 주력</t>
        </is>
      </c>
      <c r="J75" s="116" t="inlineStr">
        <is>
          <t>per_ea</t>
        </is>
      </c>
      <c r="K75" s="165" t="n">
        <v>380000</v>
      </c>
      <c r="L75" s="165" t="n">
        <v>0</v>
      </c>
      <c r="M75" s="165">
        <f>K75+L75</f>
        <v/>
      </c>
      <c r="N75" s="116" t="inlineStr">
        <is>
          <t>시장가 추정</t>
        </is>
      </c>
      <c r="O75" s="116" t="inlineStr">
        <is>
          <t>2026-04</t>
        </is>
      </c>
      <c r="P75" s="116" t="inlineStr">
        <is>
          <t>operator</t>
        </is>
      </c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43">
        <f>LEFT(I75,FIND(",",I75&amp;",")-1)</f>
        <v/>
      </c>
      <c r="Z75" s="116">
        <f>C75&amp;"|"&amp;Y75</f>
        <v/>
      </c>
      <c r="AA75" s="116">
        <f>E75&amp;"|"&amp;Y75</f>
        <v/>
      </c>
    </row>
    <row r="76" ht="15" customHeight="1" s="95">
      <c r="A76" s="116" t="inlineStr">
        <is>
          <t>MAT-BL-001</t>
        </is>
      </c>
      <c r="B76" s="116" t="inlineStr">
        <is>
          <t>active</t>
        </is>
      </c>
      <c r="C76" s="116" t="inlineStr">
        <is>
          <t>bath_toilet</t>
        </is>
      </c>
      <c r="D76" s="118" t="inlineStr">
        <is>
          <t>욕실</t>
        </is>
      </c>
      <c r="E76" s="116" t="inlineStr">
        <is>
          <t>대림</t>
        </is>
      </c>
      <c r="F76" s="116" t="inlineStr">
        <is>
          <t>대림</t>
        </is>
      </c>
      <c r="G76" s="116" t="inlineStr">
        <is>
          <t>베이직</t>
        </is>
      </c>
      <c r="H76" s="118" t="inlineStr">
        <is>
          <t>대림 베이직 양변기 (자재만)</t>
        </is>
      </c>
      <c r="I76" s="116" t="inlineStr">
        <is>
          <t>가성비, 주력</t>
        </is>
      </c>
      <c r="J76" s="116" t="inlineStr">
        <is>
          <t>per_ea</t>
        </is>
      </c>
      <c r="K76" s="165" t="n">
        <v>280000</v>
      </c>
      <c r="L76" s="165" t="n">
        <v>0</v>
      </c>
      <c r="M76" s="165">
        <f>K76+L76</f>
        <v/>
      </c>
      <c r="N76" s="116" t="inlineStr">
        <is>
          <t>시장가 추정</t>
        </is>
      </c>
      <c r="O76" s="116" t="inlineStr">
        <is>
          <t>2026-04</t>
        </is>
      </c>
      <c r="P76" s="116" t="inlineStr">
        <is>
          <t>operator</t>
        </is>
      </c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43">
        <f>LEFT(I76,FIND(",",I76&amp;",")-1)</f>
        <v/>
      </c>
      <c r="Z76" s="116">
        <f>C76&amp;"|"&amp;Y76</f>
        <v/>
      </c>
      <c r="AA76" s="116">
        <f>E76&amp;"|"&amp;Y76</f>
        <v/>
      </c>
    </row>
    <row r="77" ht="15" customHeight="1" s="95">
      <c r="A77" s="116" t="inlineStr">
        <is>
          <t>MAT-BL-002</t>
        </is>
      </c>
      <c r="B77" s="116" t="inlineStr">
        <is>
          <t>active</t>
        </is>
      </c>
      <c r="C77" s="116" t="inlineStr">
        <is>
          <t>bath_toilet</t>
        </is>
      </c>
      <c r="D77" s="118" t="inlineStr">
        <is>
          <t>욕실</t>
        </is>
      </c>
      <c r="E77" s="116" t="inlineStr">
        <is>
          <t>이누스</t>
        </is>
      </c>
      <c r="F77" s="116" t="inlineStr">
        <is>
          <t>이누스</t>
        </is>
      </c>
      <c r="G77" s="116" t="inlineStr">
        <is>
          <t>표준</t>
        </is>
      </c>
      <c r="H77" s="118" t="inlineStr">
        <is>
          <t>이누스 표준 양변기 (자재만)</t>
        </is>
      </c>
      <c r="I77" s="116" t="inlineStr">
        <is>
          <t>표준, 주력</t>
        </is>
      </c>
      <c r="J77" s="116" t="inlineStr">
        <is>
          <t>per_ea</t>
        </is>
      </c>
      <c r="K77" s="165" t="n">
        <v>610000</v>
      </c>
      <c r="L77" s="165" t="n">
        <v>0</v>
      </c>
      <c r="M77" s="165">
        <f>K77+L77</f>
        <v/>
      </c>
      <c r="N77" s="116" t="inlineStr">
        <is>
          <t>시장가 추정</t>
        </is>
      </c>
      <c r="O77" s="116" t="inlineStr">
        <is>
          <t>2026-04</t>
        </is>
      </c>
      <c r="P77" s="116" t="inlineStr">
        <is>
          <t>operator</t>
        </is>
      </c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43">
        <f>LEFT(I77,FIND(",",I77&amp;",")-1)</f>
        <v/>
      </c>
      <c r="Z77" s="116">
        <f>C77&amp;"|"&amp;Y77</f>
        <v/>
      </c>
      <c r="AA77" s="116">
        <f>E77&amp;"|"&amp;Y77</f>
        <v/>
      </c>
    </row>
    <row r="78" ht="15" customHeight="1" s="95">
      <c r="A78" s="116" t="inlineStr">
        <is>
          <t>MAT-BL-003</t>
        </is>
      </c>
      <c r="B78" s="116" t="inlineStr">
        <is>
          <t>active</t>
        </is>
      </c>
      <c r="C78" s="116" t="inlineStr">
        <is>
          <t>bath_toilet</t>
        </is>
      </c>
      <c r="D78" s="118" t="inlineStr">
        <is>
          <t>욕실</t>
        </is>
      </c>
      <c r="E78" s="116" t="inlineStr">
        <is>
          <t>아메리칸</t>
        </is>
      </c>
      <c r="F78" s="116" t="inlineStr">
        <is>
          <t>아메리칸스탠다드</t>
        </is>
      </c>
      <c r="G78" s="116" t="inlineStr">
        <is>
          <t>프리미엄</t>
        </is>
      </c>
      <c r="H78" s="118" t="inlineStr">
        <is>
          <t>아메리칸스탠다드 양변기 (자재만)</t>
        </is>
      </c>
      <c r="I78" s="116" t="inlineStr">
        <is>
          <t>고급, 주력</t>
        </is>
      </c>
      <c r="J78" s="116" t="inlineStr">
        <is>
          <t>per_ea</t>
        </is>
      </c>
      <c r="K78" s="165" t="n">
        <v>850000</v>
      </c>
      <c r="L78" s="165" t="n">
        <v>0</v>
      </c>
      <c r="M78" s="165">
        <f>K78+L78</f>
        <v/>
      </c>
      <c r="N78" s="116" t="inlineStr">
        <is>
          <t>시장가 추정</t>
        </is>
      </c>
      <c r="O78" s="116" t="inlineStr">
        <is>
          <t>2026-04</t>
        </is>
      </c>
      <c r="P78" s="116" t="inlineStr">
        <is>
          <t>operator</t>
        </is>
      </c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43">
        <f>LEFT(I78,FIND(",",I78&amp;",")-1)</f>
        <v/>
      </c>
      <c r="Z78" s="116">
        <f>C78&amp;"|"&amp;Y78</f>
        <v/>
      </c>
      <c r="AA78" s="116">
        <f>E78&amp;"|"&amp;Y78</f>
        <v/>
      </c>
    </row>
    <row r="79" ht="15" customHeight="1" s="95">
      <c r="A79" s="116" t="inlineStr">
        <is>
          <t>MAT-BA-001</t>
        </is>
      </c>
      <c r="B79" s="116" t="inlineStr">
        <is>
          <t>active</t>
        </is>
      </c>
      <c r="C79" s="116" t="inlineStr">
        <is>
          <t>bath_accessory</t>
        </is>
      </c>
      <c r="D79" s="118" t="inlineStr">
        <is>
          <t>욕실</t>
        </is>
      </c>
      <c r="E79" s="116" t="inlineStr">
        <is>
          <t>대림급</t>
        </is>
      </c>
      <c r="F79" s="116" t="inlineStr">
        <is>
          <t>대림</t>
        </is>
      </c>
      <c r="G79" s="116" t="inlineStr">
        <is>
          <t>대림표준</t>
        </is>
      </c>
      <c r="H79" s="129" t="inlineStr">
        <is>
          <t>대림 OR 이누스급 set (수건걸이+변기솔+청소수전, 자재만)</t>
        </is>
      </c>
      <c r="I79" s="116" t="inlineStr">
        <is>
          <t>가성비, 주력</t>
        </is>
      </c>
      <c r="J79" s="116" t="inlineStr">
        <is>
          <t>per_set</t>
        </is>
      </c>
      <c r="K79" s="165" t="n">
        <v>110000</v>
      </c>
      <c r="L79" s="165" t="n">
        <v>0</v>
      </c>
      <c r="M79" s="165">
        <f>K79+L79</f>
        <v/>
      </c>
      <c r="N79" s="116" t="inlineStr">
        <is>
          <t>시장가 추정</t>
        </is>
      </c>
      <c r="O79" s="116" t="inlineStr">
        <is>
          <t>2026-04</t>
        </is>
      </c>
      <c r="P79" s="116" t="inlineStr">
        <is>
          <t>operator</t>
        </is>
      </c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43">
        <f>LEFT(I79,FIND(",",I79&amp;",")-1)</f>
        <v/>
      </c>
      <c r="Z79" s="116">
        <f>C79&amp;"|"&amp;Y79</f>
        <v/>
      </c>
      <c r="AA79" s="116">
        <f>E79&amp;"|"&amp;Y79</f>
        <v/>
      </c>
    </row>
    <row r="80" ht="15" customHeight="1" s="95">
      <c r="A80" s="116" t="inlineStr">
        <is>
          <t>MAT-BA-002</t>
        </is>
      </c>
      <c r="B80" s="116" t="inlineStr">
        <is>
          <t>active</t>
        </is>
      </c>
      <c r="C80" s="116" t="inlineStr">
        <is>
          <t>bath_accessory</t>
        </is>
      </c>
      <c r="D80" s="118" t="inlineStr">
        <is>
          <t>욕실</t>
        </is>
      </c>
      <c r="E80" s="116" t="inlineStr">
        <is>
          <t>비브랜드</t>
        </is>
      </c>
      <c r="F80" s="116" t="inlineStr">
        <is>
          <t>국산</t>
        </is>
      </c>
      <c r="G80" s="116" t="inlineStr">
        <is>
          <t>비브랜드</t>
        </is>
      </c>
      <c r="H80" s="129" t="inlineStr">
        <is>
          <t>국산 비브랜드 set (수건걸이+변기솔+청소수전, 자재만)</t>
        </is>
      </c>
      <c r="I80" s="116" t="inlineStr">
        <is>
          <t>가성비</t>
        </is>
      </c>
      <c r="J80" s="116" t="inlineStr">
        <is>
          <t>per_set</t>
        </is>
      </c>
      <c r="K80" s="165" t="n">
        <v>50000</v>
      </c>
      <c r="L80" s="165" t="n">
        <v>0</v>
      </c>
      <c r="M80" s="165">
        <f>K80+L80</f>
        <v/>
      </c>
      <c r="N80" s="116" t="inlineStr">
        <is>
          <t>시장가 추정</t>
        </is>
      </c>
      <c r="O80" s="116" t="inlineStr">
        <is>
          <t>2026-04</t>
        </is>
      </c>
      <c r="P80" s="116" t="inlineStr">
        <is>
          <t>operator</t>
        </is>
      </c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43">
        <f>LEFT(I80,FIND(",",I80&amp;",")-1)</f>
        <v/>
      </c>
      <c r="Z80" s="116">
        <f>C80&amp;"|"&amp;Y80</f>
        <v/>
      </c>
      <c r="AA80" s="116">
        <f>E80&amp;"|"&amp;Y80</f>
        <v/>
      </c>
    </row>
    <row r="81" ht="15" customHeight="1" s="95">
      <c r="A81" s="116" t="inlineStr">
        <is>
          <t>MAT-BA-003</t>
        </is>
      </c>
      <c r="B81" s="116" t="inlineStr">
        <is>
          <t>active</t>
        </is>
      </c>
      <c r="C81" s="116" t="inlineStr">
        <is>
          <t>bath_accessory</t>
        </is>
      </c>
      <c r="D81" s="118" t="inlineStr">
        <is>
          <t>욕실</t>
        </is>
      </c>
      <c r="E81" s="116" t="inlineStr">
        <is>
          <t>아메리칸</t>
        </is>
      </c>
      <c r="F81" s="116" t="inlineStr">
        <is>
          <t>아메리칸스탠다드</t>
        </is>
      </c>
      <c r="G81" s="116" t="inlineStr">
        <is>
          <t>아메리칸set</t>
        </is>
      </c>
      <c r="H81" s="129" t="inlineStr">
        <is>
          <t>아메리칸스탠다드급 set (수건걸이+변기솔+청소수전, 자재만)</t>
        </is>
      </c>
      <c r="I81" s="116" t="inlineStr">
        <is>
          <t>표준, 주력</t>
        </is>
      </c>
      <c r="J81" s="116" t="inlineStr">
        <is>
          <t>per_set</t>
        </is>
      </c>
      <c r="K81" s="165" t="n">
        <v>260000</v>
      </c>
      <c r="L81" s="165" t="n">
        <v>0</v>
      </c>
      <c r="M81" s="165">
        <f>K81+L81</f>
        <v/>
      </c>
      <c r="N81" s="116" t="inlineStr">
        <is>
          <t>시장가 추정</t>
        </is>
      </c>
      <c r="O81" s="116" t="inlineStr">
        <is>
          <t>2026-04</t>
        </is>
      </c>
      <c r="P81" s="116" t="inlineStr">
        <is>
          <t>operator</t>
        </is>
      </c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43">
        <f>LEFT(I81,FIND(",",I81&amp;",")-1)</f>
        <v/>
      </c>
      <c r="Z81" s="116">
        <f>C81&amp;"|"&amp;Y81</f>
        <v/>
      </c>
      <c r="AA81" s="116">
        <f>E81&amp;"|"&amp;Y81</f>
        <v/>
      </c>
    </row>
    <row r="82" ht="15" customHeight="1" s="95">
      <c r="A82" s="116" t="inlineStr">
        <is>
          <t>MAT-BA-004</t>
        </is>
      </c>
      <c r="B82" s="116" t="inlineStr">
        <is>
          <t>active</t>
        </is>
      </c>
      <c r="C82" s="116" t="inlineStr">
        <is>
          <t>bath_accessory</t>
        </is>
      </c>
      <c r="D82" s="118" t="inlineStr">
        <is>
          <t>욕실</t>
        </is>
      </c>
      <c r="E82" s="116" t="inlineStr">
        <is>
          <t>수입최고급</t>
        </is>
      </c>
      <c r="F82" s="116" t="inlineStr">
        <is>
          <t>그로헤</t>
        </is>
      </c>
      <c r="G82" s="116" t="inlineStr">
        <is>
          <t>수입최고급</t>
        </is>
      </c>
      <c r="H82" s="129" t="inlineStr">
        <is>
          <t>그로헤·한스그로헤급 수입 최고급 set (수건걸이+변기솔+청소수전, 자재만)</t>
        </is>
      </c>
      <c r="I82" s="116" t="inlineStr">
        <is>
          <t>고급, 주력</t>
        </is>
      </c>
      <c r="J82" s="116" t="inlineStr">
        <is>
          <t>per_set</t>
        </is>
      </c>
      <c r="K82" s="165" t="n">
        <v>580000</v>
      </c>
      <c r="L82" s="165" t="n">
        <v>0</v>
      </c>
      <c r="M82" s="165">
        <f>K82+L82</f>
        <v/>
      </c>
      <c r="N82" s="116" t="inlineStr">
        <is>
          <t>시장가 추정</t>
        </is>
      </c>
      <c r="O82" s="116" t="inlineStr">
        <is>
          <t>2026-04</t>
        </is>
      </c>
      <c r="P82" s="116" t="inlineStr">
        <is>
          <t>operator</t>
        </is>
      </c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43">
        <f>LEFT(I82,FIND(",",I82&amp;",")-1)</f>
        <v/>
      </c>
      <c r="Z82" s="116">
        <f>C82&amp;"|"&amp;Y82</f>
        <v/>
      </c>
      <c r="AA82" s="116">
        <f>E82&amp;"|"&amp;Y82</f>
        <v/>
      </c>
    </row>
    <row r="83" ht="15" customHeight="1" s="95">
      <c r="A83" s="116" t="inlineStr">
        <is>
          <t>MAT-BI-001</t>
        </is>
      </c>
      <c r="B83" s="116" t="inlineStr">
        <is>
          <t>active</t>
        </is>
      </c>
      <c r="C83" s="116" t="inlineStr">
        <is>
          <t>bath_install</t>
        </is>
      </c>
      <c r="D83" s="118" t="inlineStr">
        <is>
          <t>욕실</t>
        </is>
      </c>
      <c r="E83" s="116" t="inlineStr">
        <is>
          <t>표준</t>
        </is>
      </c>
      <c r="F83" s="116" t="inlineStr">
        <is>
          <t>현장시공</t>
        </is>
      </c>
      <c r="G83" s="116" t="inlineStr">
        <is>
          <t>욕실설치</t>
        </is>
      </c>
      <c r="H83" s="129" t="inlineStr">
        <is>
          <t>욕실 1개소 설치 인건비 (수전·양변기·세면대·악세사리·SMC 등 통합)</t>
        </is>
      </c>
      <c r="I83" s="116" t="inlineStr">
        <is>
          <t>가성비, 주력</t>
        </is>
      </c>
      <c r="J83" s="116" t="inlineStr">
        <is>
          <t>per_ea</t>
        </is>
      </c>
      <c r="K83" s="165" t="n">
        <v>0</v>
      </c>
      <c r="L83" s="165" t="n">
        <v>300000</v>
      </c>
      <c r="M83" s="165">
        <f>K83+L83</f>
        <v/>
      </c>
      <c r="N83" s="116" t="inlineStr">
        <is>
          <t>시장가 추정</t>
        </is>
      </c>
      <c r="O83" s="116" t="inlineStr">
        <is>
          <t>2026-04</t>
        </is>
      </c>
      <c r="P83" s="116" t="inlineStr">
        <is>
          <t>operator</t>
        </is>
      </c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43">
        <f>LEFT(I83,FIND(",",I83&amp;",")-1)</f>
        <v/>
      </c>
      <c r="Z83" s="116">
        <f>C83&amp;"|"&amp;Y83</f>
        <v/>
      </c>
      <c r="AA83" s="116">
        <f>E83&amp;"|"&amp;Y83</f>
        <v/>
      </c>
    </row>
    <row r="84" ht="15" customHeight="1" s="95">
      <c r="A84" s="116" t="inlineStr">
        <is>
          <t>MAT-BI-002</t>
        </is>
      </c>
      <c r="B84" s="116" t="inlineStr">
        <is>
          <t>active</t>
        </is>
      </c>
      <c r="C84" s="116" t="inlineStr">
        <is>
          <t>bath_install</t>
        </is>
      </c>
      <c r="D84" s="118" t="inlineStr">
        <is>
          <t>욕실</t>
        </is>
      </c>
      <c r="E84" s="116" t="inlineStr">
        <is>
          <t>표준</t>
        </is>
      </c>
      <c r="F84" s="116" t="inlineStr">
        <is>
          <t>현장시공</t>
        </is>
      </c>
      <c r="G84" s="116" t="inlineStr">
        <is>
          <t>욕실설치</t>
        </is>
      </c>
      <c r="H84" s="129" t="inlineStr">
        <is>
          <t>욕실 1개소 설치 인건비 (수전·양변기·세면대·악세사리·SMC 등 통합)</t>
        </is>
      </c>
      <c r="I84" s="116" t="inlineStr">
        <is>
          <t>표준, 주력</t>
        </is>
      </c>
      <c r="J84" s="116" t="inlineStr">
        <is>
          <t>per_ea</t>
        </is>
      </c>
      <c r="K84" s="165" t="n">
        <v>0</v>
      </c>
      <c r="L84" s="165" t="n">
        <v>300000</v>
      </c>
      <c r="M84" s="165">
        <f>K84+L84</f>
        <v/>
      </c>
      <c r="N84" s="116" t="inlineStr">
        <is>
          <t>시장가 추정</t>
        </is>
      </c>
      <c r="O84" s="116" t="inlineStr">
        <is>
          <t>2026-04</t>
        </is>
      </c>
      <c r="P84" s="116" t="inlineStr">
        <is>
          <t>operator</t>
        </is>
      </c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43">
        <f>LEFT(I84,FIND(",",I84&amp;",")-1)</f>
        <v/>
      </c>
      <c r="Z84" s="116">
        <f>C84&amp;"|"&amp;Y84</f>
        <v/>
      </c>
      <c r="AA84" s="116">
        <f>E84&amp;"|"&amp;Y84</f>
        <v/>
      </c>
    </row>
    <row r="85" ht="15" customHeight="1" s="95">
      <c r="A85" s="116" t="inlineStr">
        <is>
          <t>MAT-BI-003</t>
        </is>
      </c>
      <c r="B85" s="116" t="inlineStr">
        <is>
          <t>active</t>
        </is>
      </c>
      <c r="C85" s="116" t="inlineStr">
        <is>
          <t>bath_install</t>
        </is>
      </c>
      <c r="D85" s="118" t="inlineStr">
        <is>
          <t>욕실</t>
        </is>
      </c>
      <c r="E85" s="116" t="inlineStr">
        <is>
          <t>표준</t>
        </is>
      </c>
      <c r="F85" s="116" t="inlineStr">
        <is>
          <t>현장시공</t>
        </is>
      </c>
      <c r="G85" s="116" t="inlineStr">
        <is>
          <t>욕실설치</t>
        </is>
      </c>
      <c r="H85" s="129" t="inlineStr">
        <is>
          <t>욕실 1개소 설치 인건비 (수전·양변기·세면대·악세사리·SMC 등 통합)</t>
        </is>
      </c>
      <c r="I85" s="116" t="inlineStr">
        <is>
          <t>고급, 주력</t>
        </is>
      </c>
      <c r="J85" s="116" t="inlineStr">
        <is>
          <t>per_ea</t>
        </is>
      </c>
      <c r="K85" s="165" t="n">
        <v>0</v>
      </c>
      <c r="L85" s="165" t="n">
        <v>300000</v>
      </c>
      <c r="M85" s="165">
        <f>K85+L85</f>
        <v/>
      </c>
      <c r="N85" s="116" t="inlineStr">
        <is>
          <t>시장가 추정</t>
        </is>
      </c>
      <c r="O85" s="116" t="inlineStr">
        <is>
          <t>2026-04</t>
        </is>
      </c>
      <c r="P85" s="116" t="inlineStr">
        <is>
          <t>operator</t>
        </is>
      </c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43">
        <f>LEFT(I85,FIND(",",I85&amp;",")-1)</f>
        <v/>
      </c>
      <c r="Z85" s="116">
        <f>C85&amp;"|"&amp;Y85</f>
        <v/>
      </c>
      <c r="AA85" s="116">
        <f>E85&amp;"|"&amp;Y85</f>
        <v/>
      </c>
    </row>
    <row r="86" ht="15" customHeight="1" s="95">
      <c r="A86" s="116" t="inlineStr">
        <is>
          <t>MAT-TL-001</t>
        </is>
      </c>
      <c r="B86" s="116" t="inlineStr">
        <is>
          <t>active</t>
        </is>
      </c>
      <c r="C86" s="116" t="inlineStr">
        <is>
          <t>tile_labor</t>
        </is>
      </c>
      <c r="D86" s="118" t="inlineStr">
        <is>
          <t>타일</t>
        </is>
      </c>
      <c r="E86" s="116" t="inlineStr">
        <is>
          <t>1팀(2명)/일</t>
        </is>
      </c>
      <c r="F86" s="116" t="inlineStr">
        <is>
          <t>현장시공</t>
        </is>
      </c>
      <c r="G86" s="116" t="inlineStr">
        <is>
          <t>코너비드팀</t>
        </is>
      </c>
      <c r="H86" s="129" t="inlineStr">
        <is>
          <t>타일 시공 1팀(타일러+데모도 2인) 1일 — 코너비드 일반 시공</t>
        </is>
      </c>
      <c r="I86" s="116" t="inlineStr">
        <is>
          <t>가성비, 주력</t>
        </is>
      </c>
      <c r="J86" s="116" t="inlineStr">
        <is>
          <t>per_set</t>
        </is>
      </c>
      <c r="K86" s="165" t="n">
        <v>0</v>
      </c>
      <c r="L86" s="165" t="n">
        <v>500000</v>
      </c>
      <c r="M86" s="165">
        <f>K86+L86</f>
        <v/>
      </c>
      <c r="N86" s="116" t="inlineStr">
        <is>
          <t>시장가 추정</t>
        </is>
      </c>
      <c r="O86" s="116" t="inlineStr">
        <is>
          <t>2026-04</t>
        </is>
      </c>
      <c r="P86" s="116" t="inlineStr">
        <is>
          <t>operator</t>
        </is>
      </c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43">
        <f>LEFT(I86,FIND(",",I86&amp;",")-1)</f>
        <v/>
      </c>
      <c r="Z86" s="116">
        <f>C86&amp;"|"&amp;Y86</f>
        <v/>
      </c>
      <c r="AA86" s="116">
        <f>E86&amp;"|"&amp;Y86</f>
        <v/>
      </c>
    </row>
    <row r="87" ht="15" customHeight="1" s="95">
      <c r="A87" s="116" t="inlineStr">
        <is>
          <t>MAT-TL-002</t>
        </is>
      </c>
      <c r="B87" s="116" t="inlineStr">
        <is>
          <t>active</t>
        </is>
      </c>
      <c r="C87" s="116" t="inlineStr">
        <is>
          <t>tile_labor</t>
        </is>
      </c>
      <c r="D87" s="118" t="inlineStr">
        <is>
          <t>타일</t>
        </is>
      </c>
      <c r="E87" s="116" t="inlineStr">
        <is>
          <t>1팀(2명)/일</t>
        </is>
      </c>
      <c r="F87" s="116" t="inlineStr">
        <is>
          <t>현장시공</t>
        </is>
      </c>
      <c r="G87" s="116" t="inlineStr">
        <is>
          <t>졸리컷팀</t>
        </is>
      </c>
      <c r="H87" s="129" t="inlineStr">
        <is>
          <t>타일 시공 1팀(타일러+데모도 2인) 1일 — 졸리컷 정밀 시공</t>
        </is>
      </c>
      <c r="I87" s="116" t="inlineStr">
        <is>
          <t>표준, 주력</t>
        </is>
      </c>
      <c r="J87" s="116" t="inlineStr">
        <is>
          <t>per_set</t>
        </is>
      </c>
      <c r="K87" s="165" t="n">
        <v>0</v>
      </c>
      <c r="L87" s="165" t="n">
        <v>550000</v>
      </c>
      <c r="M87" s="165">
        <f>K87+L87</f>
        <v/>
      </c>
      <c r="N87" s="116" t="inlineStr">
        <is>
          <t>시장가 추정</t>
        </is>
      </c>
      <c r="O87" s="116" t="inlineStr">
        <is>
          <t>2026-04</t>
        </is>
      </c>
      <c r="P87" s="116" t="inlineStr">
        <is>
          <t>operator</t>
        </is>
      </c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43">
        <f>LEFT(I87,FIND(",",I87&amp;",")-1)</f>
        <v/>
      </c>
      <c r="Z87" s="116">
        <f>C87&amp;"|"&amp;Y87</f>
        <v/>
      </c>
      <c r="AA87" s="116">
        <f>E87&amp;"|"&amp;Y87</f>
        <v/>
      </c>
    </row>
    <row r="88" ht="15" customHeight="1" s="95">
      <c r="A88" s="116" t="inlineStr">
        <is>
          <t>MAT-TL-003</t>
        </is>
      </c>
      <c r="B88" s="116" t="inlineStr">
        <is>
          <t>active</t>
        </is>
      </c>
      <c r="C88" s="116" t="inlineStr">
        <is>
          <t>tile_labor</t>
        </is>
      </c>
      <c r="D88" s="118" t="inlineStr">
        <is>
          <t>타일</t>
        </is>
      </c>
      <c r="E88" s="116" t="inlineStr">
        <is>
          <t>1팀(2명)/일</t>
        </is>
      </c>
      <c r="F88" s="116" t="inlineStr">
        <is>
          <t>현장시공</t>
        </is>
      </c>
      <c r="G88" s="116" t="inlineStr">
        <is>
          <t>졸리컷광택팀</t>
        </is>
      </c>
      <c r="H88" s="129" t="inlineStr">
        <is>
          <t>타일 시공 1팀(타일러+데모도 2인) 1일 — 졸리컷+광택 마감 정밀</t>
        </is>
      </c>
      <c r="I88" s="116" t="inlineStr">
        <is>
          <t>고급, 주력</t>
        </is>
      </c>
      <c r="J88" s="116" t="inlineStr">
        <is>
          <t>per_set</t>
        </is>
      </c>
      <c r="K88" s="165" t="n">
        <v>0</v>
      </c>
      <c r="L88" s="165" t="n">
        <v>600000</v>
      </c>
      <c r="M88" s="165">
        <f>K88+L88</f>
        <v/>
      </c>
      <c r="N88" s="116" t="inlineStr">
        <is>
          <t>시장가 추정</t>
        </is>
      </c>
      <c r="O88" s="116" t="inlineStr">
        <is>
          <t>2026-04</t>
        </is>
      </c>
      <c r="P88" s="116" t="inlineStr">
        <is>
          <t>operator</t>
        </is>
      </c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43">
        <f>LEFT(I88,FIND(",",I88&amp;",")-1)</f>
        <v/>
      </c>
      <c r="Z88" s="116">
        <f>C88&amp;"|"&amp;Y88</f>
        <v/>
      </c>
      <c r="AA88" s="116">
        <f>E88&amp;"|"&amp;Y88</f>
        <v/>
      </c>
    </row>
    <row r="89" ht="15" customHeight="1" s="95">
      <c r="A89" s="116" t="inlineStr">
        <is>
          <t>MAT-KM-001</t>
        </is>
      </c>
      <c r="B89" s="116" t="inlineStr">
        <is>
          <t>active</t>
        </is>
      </c>
      <c r="C89" s="116" t="inlineStr">
        <is>
          <t>kitchen_midway</t>
        </is>
      </c>
      <c r="D89" s="118" t="inlineStr">
        <is>
          <t>타일</t>
        </is>
      </c>
      <c r="E89" s="116" t="inlineStr">
        <is>
          <t>타일</t>
        </is>
      </c>
      <c r="F89" s="116" t="inlineStr">
        <is>
          <t>중국수입</t>
        </is>
      </c>
      <c r="G89" s="116" t="inlineStr">
        <is>
          <t>600중국</t>
        </is>
      </c>
      <c r="H89" s="129" t="inlineStr">
        <is>
          <t>600각 중국산 타일 백패널 (자재만, 인건비는 통합 타일팀)</t>
        </is>
      </c>
      <c r="I89" s="116" t="inlineStr">
        <is>
          <t>가성비, 주력</t>
        </is>
      </c>
      <c r="J89" s="116" t="inlineStr">
        <is>
          <t>per_m</t>
        </is>
      </c>
      <c r="K89" s="165" t="n">
        <v>35000</v>
      </c>
      <c r="L89" s="165" t="n">
        <v>0</v>
      </c>
      <c r="M89" s="165">
        <f>K89+L89</f>
        <v/>
      </c>
      <c r="N89" s="116" t="inlineStr">
        <is>
          <t>시장가 추정</t>
        </is>
      </c>
      <c r="O89" s="116" t="inlineStr">
        <is>
          <t>2026-04</t>
        </is>
      </c>
      <c r="P89" s="116" t="inlineStr">
        <is>
          <t>operator</t>
        </is>
      </c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43">
        <f>LEFT(I89,FIND(",",I89&amp;",")-1)</f>
        <v/>
      </c>
      <c r="Z89" s="116">
        <f>C89&amp;"|"&amp;Y89</f>
        <v/>
      </c>
      <c r="AA89" s="116">
        <f>E89&amp;"|"&amp;Y89</f>
        <v/>
      </c>
    </row>
    <row r="90" ht="15" customHeight="1" s="95">
      <c r="A90" s="116" t="inlineStr">
        <is>
          <t>MAT-KM-002</t>
        </is>
      </c>
      <c r="B90" s="116" t="inlineStr">
        <is>
          <t>active</t>
        </is>
      </c>
      <c r="C90" s="116" t="inlineStr">
        <is>
          <t>kitchen_midway</t>
        </is>
      </c>
      <c r="D90" s="118" t="inlineStr">
        <is>
          <t>타일</t>
        </is>
      </c>
      <c r="E90" s="116" t="inlineStr">
        <is>
          <t>타일</t>
        </is>
      </c>
      <c r="F90" s="116" t="inlineStr">
        <is>
          <t>중국수입</t>
        </is>
      </c>
      <c r="G90" s="116" t="inlineStr">
        <is>
          <t>800중국</t>
        </is>
      </c>
      <c r="H90" s="129" t="inlineStr">
        <is>
          <t>800각 중국산 타일 백패널 (자재만, 인건비는 통합 타일팀)</t>
        </is>
      </c>
      <c r="I90" s="116" t="inlineStr">
        <is>
          <t>표준, 주력</t>
        </is>
      </c>
      <c r="J90" s="116" t="inlineStr">
        <is>
          <t>per_m</t>
        </is>
      </c>
      <c r="K90" s="165" t="n">
        <v>60000</v>
      </c>
      <c r="L90" s="165" t="n">
        <v>0</v>
      </c>
      <c r="M90" s="165">
        <f>K90+L90</f>
        <v/>
      </c>
      <c r="N90" s="116" t="inlineStr">
        <is>
          <t>시장가 추정</t>
        </is>
      </c>
      <c r="O90" s="116" t="inlineStr">
        <is>
          <t>2026-04</t>
        </is>
      </c>
      <c r="P90" s="116" t="inlineStr">
        <is>
          <t>operator</t>
        </is>
      </c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43">
        <f>LEFT(I90,FIND(",",I90&amp;",")-1)</f>
        <v/>
      </c>
      <c r="Z90" s="116">
        <f>C90&amp;"|"&amp;Y90</f>
        <v/>
      </c>
      <c r="AA90" s="116">
        <f>E90&amp;"|"&amp;Y90</f>
        <v/>
      </c>
    </row>
    <row r="91" ht="15" customHeight="1" s="95">
      <c r="A91" s="116" t="inlineStr">
        <is>
          <t>MAT-KM-003</t>
        </is>
      </c>
      <c r="B91" s="116" t="inlineStr">
        <is>
          <t>active</t>
        </is>
      </c>
      <c r="C91" s="116" t="inlineStr">
        <is>
          <t>kitchen_midway</t>
        </is>
      </c>
      <c r="D91" s="118" t="inlineStr">
        <is>
          <t>타일</t>
        </is>
      </c>
      <c r="E91" s="116" t="inlineStr">
        <is>
          <t>타일</t>
        </is>
      </c>
      <c r="F91" s="116" t="inlineStr">
        <is>
          <t>이태리수입</t>
        </is>
      </c>
      <c r="G91" s="116" t="inlineStr">
        <is>
          <t>800이태리</t>
        </is>
      </c>
      <c r="H91" s="129" t="inlineStr">
        <is>
          <t>800각 이태리 수입 타일 백패널 (자재만, 인건비는 통합 타일팀)</t>
        </is>
      </c>
      <c r="I91" s="116" t="inlineStr">
        <is>
          <t>고급, 주력</t>
        </is>
      </c>
      <c r="J91" s="116" t="inlineStr">
        <is>
          <t>per_m</t>
        </is>
      </c>
      <c r="K91" s="165" t="n">
        <v>120000</v>
      </c>
      <c r="L91" s="165" t="n">
        <v>0</v>
      </c>
      <c r="M91" s="165">
        <f>K91+L91</f>
        <v/>
      </c>
      <c r="N91" s="116" t="inlineStr">
        <is>
          <t>시장가 추정</t>
        </is>
      </c>
      <c r="O91" s="116" t="inlineStr">
        <is>
          <t>2026-04</t>
        </is>
      </c>
      <c r="P91" s="116" t="inlineStr">
        <is>
          <t>operator</t>
        </is>
      </c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43">
        <f>LEFT(I91,FIND(",",I91&amp;",")-1)</f>
        <v/>
      </c>
      <c r="Z91" s="116">
        <f>C91&amp;"|"&amp;Y91</f>
        <v/>
      </c>
      <c r="AA91" s="116">
        <f>E91&amp;"|"&amp;Y91</f>
        <v/>
      </c>
    </row>
    <row r="92" ht="15" customHeight="1" s="95">
      <c r="A92" s="116" t="inlineStr">
        <is>
          <t>MAT-KP-001</t>
        </is>
      </c>
      <c r="B92" s="116" t="inlineStr">
        <is>
          <t>active</t>
        </is>
      </c>
      <c r="C92" s="116" t="inlineStr">
        <is>
          <t>kitchen_top</t>
        </is>
      </c>
      <c r="D92" s="118" t="inlineStr">
        <is>
          <t>주방가구</t>
        </is>
      </c>
      <c r="E92" s="116" t="inlineStr">
        <is>
          <t>인조대리석</t>
        </is>
      </c>
      <c r="F92" s="116" t="inlineStr">
        <is>
          <t>LX하이막스</t>
        </is>
      </c>
      <c r="G92" s="116" t="inlineStr">
        <is>
          <t>하이막스</t>
        </is>
      </c>
      <c r="H92" s="118" t="inlineStr">
        <is>
          <t>인조대리석 하이막스급 (가성비)</t>
        </is>
      </c>
      <c r="I92" s="116" t="inlineStr">
        <is>
          <t>가성비, 주력</t>
        </is>
      </c>
      <c r="J92" s="116" t="inlineStr">
        <is>
          <t>per_m</t>
        </is>
      </c>
      <c r="K92" s="165" t="n">
        <v>280000</v>
      </c>
      <c r="L92" s="165" t="n">
        <v>100000</v>
      </c>
      <c r="M92" s="165">
        <f>K92+L92</f>
        <v/>
      </c>
      <c r="N92" s="116" t="inlineStr">
        <is>
          <t>시장가 추정</t>
        </is>
      </c>
      <c r="O92" s="116" t="inlineStr">
        <is>
          <t>2026-04</t>
        </is>
      </c>
      <c r="P92" s="116" t="inlineStr">
        <is>
          <t>operator</t>
        </is>
      </c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43">
        <f>LEFT(I92,FIND(",",I92&amp;",")-1)</f>
        <v/>
      </c>
      <c r="Z92" s="116">
        <f>C92&amp;"|"&amp;Y92</f>
        <v/>
      </c>
      <c r="AA92" s="116">
        <f>E92&amp;"|"&amp;Y92</f>
        <v/>
      </c>
    </row>
    <row r="93" ht="15" customHeight="1" s="95">
      <c r="A93" s="116" t="inlineStr">
        <is>
          <t>MAT-KP-002</t>
        </is>
      </c>
      <c r="B93" s="116" t="inlineStr">
        <is>
          <t>active</t>
        </is>
      </c>
      <c r="C93" s="116" t="inlineStr">
        <is>
          <t>kitchen_top</t>
        </is>
      </c>
      <c r="D93" s="118" t="inlineStr">
        <is>
          <t>주방가구</t>
        </is>
      </c>
      <c r="E93" s="116" t="inlineStr">
        <is>
          <t>인조대리석</t>
        </is>
      </c>
      <c r="F93" s="116" t="inlineStr">
        <is>
          <t>LX하이막스</t>
        </is>
      </c>
      <c r="G93" s="116" t="inlineStr">
        <is>
          <t>하이막스표준</t>
        </is>
      </c>
      <c r="H93" s="118" t="inlineStr">
        <is>
          <t>인조대리석 하이막스 상위급 (표준)</t>
        </is>
      </c>
      <c r="I93" s="116" t="inlineStr">
        <is>
          <t>표준, 주력</t>
        </is>
      </c>
      <c r="J93" s="116" t="inlineStr">
        <is>
          <t>per_m</t>
        </is>
      </c>
      <c r="K93" s="165" t="n">
        <v>360000</v>
      </c>
      <c r="L93" s="165" t="n">
        <v>120000</v>
      </c>
      <c r="M93" s="165">
        <f>K93+L93</f>
        <v/>
      </c>
      <c r="N93" s="116" t="inlineStr">
        <is>
          <t>시장가 추정</t>
        </is>
      </c>
      <c r="O93" s="116" t="inlineStr">
        <is>
          <t>2026-04</t>
        </is>
      </c>
      <c r="P93" s="116" t="inlineStr">
        <is>
          <t>operator</t>
        </is>
      </c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43">
        <f>LEFT(I93,FIND(",",I93&amp;",")-1)</f>
        <v/>
      </c>
      <c r="Z93" s="116">
        <f>C93&amp;"|"&amp;Y93</f>
        <v/>
      </c>
      <c r="AA93" s="116">
        <f>E93&amp;"|"&amp;Y93</f>
        <v/>
      </c>
    </row>
    <row r="94" ht="15" customHeight="1" s="95">
      <c r="A94" s="116" t="inlineStr">
        <is>
          <t>MAT-KP-003</t>
        </is>
      </c>
      <c r="B94" s="116" t="inlineStr">
        <is>
          <t>active</t>
        </is>
      </c>
      <c r="C94" s="116" t="inlineStr">
        <is>
          <t>kitchen_top</t>
        </is>
      </c>
      <c r="D94" s="118" t="inlineStr">
        <is>
          <t>주방가구</t>
        </is>
      </c>
      <c r="E94" s="116" t="inlineStr">
        <is>
          <t>엔지니어드</t>
        </is>
      </c>
      <c r="F94" s="116" t="inlineStr">
        <is>
          <t>Caesarstone</t>
        </is>
      </c>
      <c r="G94" s="116" t="inlineStr">
        <is>
          <t>칸스톤</t>
        </is>
      </c>
      <c r="H94" s="129" t="inlineStr">
        <is>
          <t>칸스톤(Caesarstone) 엔지니어드 스톤 상판 — 추천</t>
        </is>
      </c>
      <c r="I94" s="116" t="inlineStr">
        <is>
          <t>고급, 주력</t>
        </is>
      </c>
      <c r="J94" s="116" t="inlineStr">
        <is>
          <t>per_m</t>
        </is>
      </c>
      <c r="K94" s="165" t="n">
        <v>450000</v>
      </c>
      <c r="L94" s="165" t="n">
        <v>150000</v>
      </c>
      <c r="M94" s="165">
        <f>K94+L94</f>
        <v/>
      </c>
      <c r="N94" s="116" t="inlineStr">
        <is>
          <t>시장가 추정</t>
        </is>
      </c>
      <c r="O94" s="116" t="inlineStr">
        <is>
          <t>2026-04</t>
        </is>
      </c>
      <c r="P94" s="116" t="inlineStr">
        <is>
          <t>operator</t>
        </is>
      </c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43">
        <f>LEFT(I94,FIND(",",I94&amp;",")-1)</f>
        <v/>
      </c>
      <c r="Z94" s="116">
        <f>C94&amp;"|"&amp;Y94</f>
        <v/>
      </c>
      <c r="AA94" s="116">
        <f>E94&amp;"|"&amp;Y94</f>
        <v/>
      </c>
    </row>
    <row r="95" ht="15" customHeight="1" s="95">
      <c r="A95" s="116" t="inlineStr">
        <is>
          <t>MAT-KP-004</t>
        </is>
      </c>
      <c r="B95" s="116" t="inlineStr">
        <is>
          <t>active</t>
        </is>
      </c>
      <c r="C95" s="116" t="inlineStr">
        <is>
          <t>kitchen_top</t>
        </is>
      </c>
      <c r="D95" s="118" t="inlineStr">
        <is>
          <t>주방가구</t>
        </is>
      </c>
      <c r="E95" s="116" t="inlineStr">
        <is>
          <t>세라믹</t>
        </is>
      </c>
      <c r="F95" s="116" t="inlineStr">
        <is>
          <t>Laminam</t>
        </is>
      </c>
      <c r="G95" s="116" t="inlineStr">
        <is>
          <t>세라믹이태리</t>
        </is>
      </c>
      <c r="H95" s="129" t="inlineStr">
        <is>
          <t>이태리 수입 세라믹 슬라브 (Laminam·Neolith급) 상판</t>
        </is>
      </c>
      <c r="I95" s="116" t="inlineStr">
        <is>
          <t>고급</t>
        </is>
      </c>
      <c r="J95" s="116" t="inlineStr">
        <is>
          <t>per_m</t>
        </is>
      </c>
      <c r="K95" s="165" t="n">
        <v>950000</v>
      </c>
      <c r="L95" s="165" t="n">
        <v>200000</v>
      </c>
      <c r="M95" s="165">
        <f>K95+L95</f>
        <v/>
      </c>
      <c r="N95" s="116" t="inlineStr">
        <is>
          <t>시장가 추정</t>
        </is>
      </c>
      <c r="O95" s="116" t="inlineStr">
        <is>
          <t>2026-04</t>
        </is>
      </c>
      <c r="P95" s="116" t="inlineStr">
        <is>
          <t>operator</t>
        </is>
      </c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43">
        <f>LEFT(I95,FIND(",",I95&amp;",")-1)</f>
        <v/>
      </c>
      <c r="Z95" s="116">
        <f>C95&amp;"|"&amp;Y95</f>
        <v/>
      </c>
      <c r="AA95" s="116">
        <f>E95&amp;"|"&amp;Y95</f>
        <v/>
      </c>
    </row>
    <row r="96" ht="15" customHeight="1" s="95">
      <c r="A96" s="116" t="inlineStr">
        <is>
          <t>MAT-KH-001</t>
        </is>
      </c>
      <c r="B96" s="116" t="inlineStr">
        <is>
          <t>active</t>
        </is>
      </c>
      <c r="C96" s="116" t="inlineStr">
        <is>
          <t>kitchen_hardware</t>
        </is>
      </c>
      <c r="D96" s="118" t="inlineStr">
        <is>
          <t>주방가구</t>
        </is>
      </c>
      <c r="E96" s="116" t="inlineStr">
        <is>
          <t>국산</t>
        </is>
      </c>
      <c r="F96" s="116" t="inlineStr">
        <is>
          <t>국산</t>
        </is>
      </c>
      <c r="G96" s="116" t="inlineStr">
        <is>
          <t>일반</t>
        </is>
      </c>
      <c r="H96" s="118" t="inlineStr">
        <is>
          <t>국산 일반 경첩2+손잡이1+레일 (논댐핑)</t>
        </is>
      </c>
      <c r="I96" s="116" t="inlineStr">
        <is>
          <t>가성비, 주력</t>
        </is>
      </c>
      <c r="J96" s="116" t="inlineStr">
        <is>
          <t>per_set</t>
        </is>
      </c>
      <c r="K96" s="165" t="n">
        <v>13000</v>
      </c>
      <c r="L96" s="165" t="n">
        <v>4000</v>
      </c>
      <c r="M96" s="165">
        <f>K96+L96</f>
        <v/>
      </c>
      <c r="N96" s="116" t="inlineStr">
        <is>
          <t>시장가 추정</t>
        </is>
      </c>
      <c r="O96" s="116" t="inlineStr">
        <is>
          <t>2026-04</t>
        </is>
      </c>
      <c r="P96" s="116" t="inlineStr">
        <is>
          <t>operator</t>
        </is>
      </c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43">
        <f>LEFT(I96,FIND(",",I96&amp;",")-1)</f>
        <v/>
      </c>
      <c r="Z96" s="116">
        <f>C96&amp;"|"&amp;Y96</f>
        <v/>
      </c>
      <c r="AA96" s="116">
        <f>E96&amp;"|"&amp;Y96</f>
        <v/>
      </c>
    </row>
    <row r="97" ht="15" customHeight="1" s="95">
      <c r="A97" s="116" t="inlineStr">
        <is>
          <t>MAT-KH-002</t>
        </is>
      </c>
      <c r="B97" s="116" t="inlineStr">
        <is>
          <t>active</t>
        </is>
      </c>
      <c r="C97" s="116" t="inlineStr">
        <is>
          <t>kitchen_hardware</t>
        </is>
      </c>
      <c r="D97" s="118" t="inlineStr">
        <is>
          <t>주방가구</t>
        </is>
      </c>
      <c r="E97" s="116" t="inlineStr">
        <is>
          <t>국산</t>
        </is>
      </c>
      <c r="F97" s="116" t="inlineStr">
        <is>
          <t>국산</t>
        </is>
      </c>
      <c r="G97" s="116" t="inlineStr">
        <is>
          <t>댐핑</t>
        </is>
      </c>
      <c r="H97" s="118" t="inlineStr">
        <is>
          <t>국산 댐핑 경첩2+손잡이1+레일</t>
        </is>
      </c>
      <c r="I97" s="116" t="inlineStr">
        <is>
          <t>표준, 주력</t>
        </is>
      </c>
      <c r="J97" s="116" t="inlineStr">
        <is>
          <t>per_set</t>
        </is>
      </c>
      <c r="K97" s="165" t="n">
        <v>25000</v>
      </c>
      <c r="L97" s="165" t="n">
        <v>6000</v>
      </c>
      <c r="M97" s="165">
        <f>K97+L97</f>
        <v/>
      </c>
      <c r="N97" s="116" t="inlineStr">
        <is>
          <t>시장가 추정</t>
        </is>
      </c>
      <c r="O97" s="116" t="inlineStr">
        <is>
          <t>2026-04</t>
        </is>
      </c>
      <c r="P97" s="116" t="inlineStr">
        <is>
          <t>operator</t>
        </is>
      </c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43">
        <f>LEFT(I97,FIND(",",I97&amp;",")-1)</f>
        <v/>
      </c>
      <c r="Z97" s="116">
        <f>C97&amp;"|"&amp;Y97</f>
        <v/>
      </c>
      <c r="AA97" s="116">
        <f>E97&amp;"|"&amp;Y97</f>
        <v/>
      </c>
    </row>
    <row r="98" ht="15" customHeight="1" s="95">
      <c r="A98" s="116" t="inlineStr">
        <is>
          <t>MAT-KH-003</t>
        </is>
      </c>
      <c r="B98" s="116" t="inlineStr">
        <is>
          <t>active</t>
        </is>
      </c>
      <c r="C98" s="116" t="inlineStr">
        <is>
          <t>kitchen_hardware</t>
        </is>
      </c>
      <c r="D98" s="118" t="inlineStr">
        <is>
          <t>주방가구</t>
        </is>
      </c>
      <c r="E98" s="116" t="inlineStr">
        <is>
          <t>블럼</t>
        </is>
      </c>
      <c r="F98" s="116" t="inlineStr">
        <is>
          <t>Blum</t>
        </is>
      </c>
      <c r="G98" s="116" t="inlineStr">
        <is>
          <t>클립톱</t>
        </is>
      </c>
      <c r="H98" s="118" t="inlineStr">
        <is>
          <t>Blum 클립톱2+손잡이1+탠덤박스</t>
        </is>
      </c>
      <c r="I98" s="116" t="inlineStr">
        <is>
          <t>고급, 주력</t>
        </is>
      </c>
      <c r="J98" s="116" t="inlineStr">
        <is>
          <t>per_set</t>
        </is>
      </c>
      <c r="K98" s="165" t="n">
        <v>75000</v>
      </c>
      <c r="L98" s="165" t="n">
        <v>10000</v>
      </c>
      <c r="M98" s="165">
        <f>K98+L98</f>
        <v/>
      </c>
      <c r="N98" s="116" t="inlineStr">
        <is>
          <t>시장가 추정</t>
        </is>
      </c>
      <c r="O98" s="116" t="inlineStr">
        <is>
          <t>2026-04</t>
        </is>
      </c>
      <c r="P98" s="116" t="inlineStr">
        <is>
          <t>operator</t>
        </is>
      </c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43">
        <f>LEFT(I98,FIND(",",I98&amp;",")-1)</f>
        <v/>
      </c>
      <c r="Z98" s="116">
        <f>C98&amp;"|"&amp;Y98</f>
        <v/>
      </c>
      <c r="AA98" s="116">
        <f>E98&amp;"|"&amp;Y98</f>
        <v/>
      </c>
    </row>
    <row r="99" ht="15" customHeight="1" s="95">
      <c r="A99" s="116" t="inlineStr">
        <is>
          <t>MAT-KO-001</t>
        </is>
      </c>
      <c r="B99" s="116" t="inlineStr">
        <is>
          <t>active</t>
        </is>
      </c>
      <c r="C99" s="116" t="inlineStr">
        <is>
          <t>kitchen_hood</t>
        </is>
      </c>
      <c r="D99" s="118" t="inlineStr">
        <is>
          <t>주방가구</t>
        </is>
      </c>
      <c r="E99" s="116" t="inlineStr">
        <is>
          <t>히든</t>
        </is>
      </c>
      <c r="F99" s="116" t="inlineStr">
        <is>
          <t>하츠</t>
        </is>
      </c>
      <c r="G99" s="116" t="inlineStr">
        <is>
          <t>ABL300</t>
        </is>
      </c>
      <c r="H99" s="129" t="inlineStr">
        <is>
          <t>하츠(Haatz) ABL-300 상부장 매립 히든형 후드 (자재만)</t>
        </is>
      </c>
      <c r="I99" s="116" t="inlineStr">
        <is>
          <t>가성비, 주력</t>
        </is>
      </c>
      <c r="J99" s="116" t="inlineStr">
        <is>
          <t>per_ea</t>
        </is>
      </c>
      <c r="K99" s="165" t="n">
        <v>200000</v>
      </c>
      <c r="L99" s="165" t="n">
        <v>0</v>
      </c>
      <c r="M99" s="165">
        <f>K99+L99</f>
        <v/>
      </c>
      <c r="N99" s="116" t="inlineStr">
        <is>
          <t>시장가 추정</t>
        </is>
      </c>
      <c r="O99" s="116" t="inlineStr">
        <is>
          <t>2026-04</t>
        </is>
      </c>
      <c r="P99" s="116" t="inlineStr">
        <is>
          <t>operator</t>
        </is>
      </c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43">
        <f>LEFT(I99,FIND(",",I99&amp;",")-1)</f>
        <v/>
      </c>
      <c r="Z99" s="116">
        <f>C99&amp;"|"&amp;Y99</f>
        <v/>
      </c>
      <c r="AA99" s="116">
        <f>E99&amp;"|"&amp;Y99</f>
        <v/>
      </c>
    </row>
    <row r="100" ht="15" customHeight="1" s="95">
      <c r="A100" s="116" t="inlineStr">
        <is>
          <t>MAT-KO-002</t>
        </is>
      </c>
      <c r="B100" s="116" t="inlineStr">
        <is>
          <t>active</t>
        </is>
      </c>
      <c r="C100" s="116" t="inlineStr">
        <is>
          <t>kitchen_hood</t>
        </is>
      </c>
      <c r="D100" s="118" t="inlineStr">
        <is>
          <t>주방가구</t>
        </is>
      </c>
      <c r="E100" s="116" t="inlineStr">
        <is>
          <t>노출</t>
        </is>
      </c>
      <c r="F100" s="116" t="inlineStr">
        <is>
          <t>하츠</t>
        </is>
      </c>
      <c r="G100" s="116" t="inlineStr">
        <is>
          <t>Classic</t>
        </is>
      </c>
      <c r="H100" s="129" t="inlineStr">
        <is>
          <t>하츠(Haatz) Classic 노출형 표준 후드 (자재만)</t>
        </is>
      </c>
      <c r="I100" s="116" t="inlineStr">
        <is>
          <t>표준, 주력</t>
        </is>
      </c>
      <c r="J100" s="116" t="inlineStr">
        <is>
          <t>per_ea</t>
        </is>
      </c>
      <c r="K100" s="165" t="n">
        <v>400000</v>
      </c>
      <c r="L100" s="165" t="n">
        <v>0</v>
      </c>
      <c r="M100" s="165">
        <f>K100+L100</f>
        <v/>
      </c>
      <c r="N100" s="116" t="inlineStr">
        <is>
          <t>시장가 추정</t>
        </is>
      </c>
      <c r="O100" s="116" t="inlineStr">
        <is>
          <t>2026-04</t>
        </is>
      </c>
      <c r="P100" s="116" t="inlineStr">
        <is>
          <t>operator</t>
        </is>
      </c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43">
        <f>LEFT(I100,FIND(",",I100&amp;",")-1)</f>
        <v/>
      </c>
      <c r="Z100" s="116">
        <f>C100&amp;"|"&amp;Y100</f>
        <v/>
      </c>
      <c r="AA100" s="116">
        <f>E100&amp;"|"&amp;Y100</f>
        <v/>
      </c>
    </row>
    <row r="101" ht="15" customHeight="1" s="95">
      <c r="A101" s="116" t="inlineStr">
        <is>
          <t>MAT-KO-003</t>
        </is>
      </c>
      <c r="B101" s="116" t="inlineStr">
        <is>
          <t>active</t>
        </is>
      </c>
      <c r="C101" s="116" t="inlineStr">
        <is>
          <t>kitchen_hood</t>
        </is>
      </c>
      <c r="D101" s="118" t="inlineStr">
        <is>
          <t>주방가구</t>
        </is>
      </c>
      <c r="E101" s="116" t="inlineStr">
        <is>
          <t>수입급</t>
        </is>
      </c>
      <c r="F101" s="116" t="inlineStr">
        <is>
          <t>휘슬러</t>
        </is>
      </c>
      <c r="G101" s="116" t="inlineStr">
        <is>
          <t>SilentEdition</t>
        </is>
      </c>
      <c r="H101" s="129" t="inlineStr">
        <is>
          <t>휘슬러(Fissler) SilentEdition 노출형 프리미엄 후드 (자재만)</t>
        </is>
      </c>
      <c r="I101" s="116" t="inlineStr">
        <is>
          <t>고급, 주력</t>
        </is>
      </c>
      <c r="J101" s="116" t="inlineStr">
        <is>
          <t>per_ea</t>
        </is>
      </c>
      <c r="K101" s="165" t="n">
        <v>1000000</v>
      </c>
      <c r="L101" s="165" t="n">
        <v>0</v>
      </c>
      <c r="M101" s="165">
        <f>K101+L101</f>
        <v/>
      </c>
      <c r="N101" s="116" t="inlineStr">
        <is>
          <t>시장가 추정</t>
        </is>
      </c>
      <c r="O101" s="116" t="inlineStr">
        <is>
          <t>2026-04</t>
        </is>
      </c>
      <c r="P101" s="116" t="inlineStr">
        <is>
          <t>operator</t>
        </is>
      </c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43">
        <f>LEFT(I101,FIND(",",I101&amp;",")-1)</f>
        <v/>
      </c>
      <c r="Z101" s="116">
        <f>C101&amp;"|"&amp;Y101</f>
        <v/>
      </c>
      <c r="AA101" s="116">
        <f>E101&amp;"|"&amp;Y101</f>
        <v/>
      </c>
    </row>
    <row r="102" ht="15" customHeight="1" s="95">
      <c r="A102" s="116" t="inlineStr">
        <is>
          <t>MAT-KS-001</t>
        </is>
      </c>
      <c r="B102" s="116" t="inlineStr">
        <is>
          <t>active</t>
        </is>
      </c>
      <c r="C102" s="116" t="inlineStr">
        <is>
          <t>kitchen_sink</t>
        </is>
      </c>
      <c r="D102" s="118" t="inlineStr">
        <is>
          <t>주방가구</t>
        </is>
      </c>
      <c r="E102" s="116" t="inlineStr">
        <is>
          <t>백조</t>
        </is>
      </c>
      <c r="F102" s="116" t="inlineStr">
        <is>
          <t>백조싱크</t>
        </is>
      </c>
      <c r="G102" s="116" t="inlineStr">
        <is>
          <t>SBN845</t>
        </is>
      </c>
      <c r="H102" s="129" t="inlineStr">
        <is>
          <t>백조싱크 SBN-845 STS304 단조 일반형 (자재만)</t>
        </is>
      </c>
      <c r="I102" s="116" t="inlineStr">
        <is>
          <t>가성비, 주력</t>
        </is>
      </c>
      <c r="J102" s="116" t="inlineStr">
        <is>
          <t>per_ea</t>
        </is>
      </c>
      <c r="K102" s="165" t="n">
        <v>200000</v>
      </c>
      <c r="L102" s="165" t="n">
        <v>0</v>
      </c>
      <c r="M102" s="165">
        <f>K102+L102</f>
        <v/>
      </c>
      <c r="N102" s="116" t="inlineStr">
        <is>
          <t>시장가 추정</t>
        </is>
      </c>
      <c r="O102" s="116" t="inlineStr">
        <is>
          <t>2026-04</t>
        </is>
      </c>
      <c r="P102" s="116" t="inlineStr">
        <is>
          <t>operator</t>
        </is>
      </c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43">
        <f>LEFT(I102,FIND(",",I102&amp;",")-1)</f>
        <v/>
      </c>
      <c r="Z102" s="116">
        <f>C102&amp;"|"&amp;Y102</f>
        <v/>
      </c>
      <c r="AA102" s="116">
        <f>E102&amp;"|"&amp;Y102</f>
        <v/>
      </c>
    </row>
    <row r="103" ht="15" customHeight="1" s="95">
      <c r="A103" s="116" t="inlineStr">
        <is>
          <t>MAT-KS-002</t>
        </is>
      </c>
      <c r="B103" s="116" t="inlineStr">
        <is>
          <t>active</t>
        </is>
      </c>
      <c r="C103" s="116" t="inlineStr">
        <is>
          <t>kitchen_sink</t>
        </is>
      </c>
      <c r="D103" s="118" t="inlineStr">
        <is>
          <t>주방가구</t>
        </is>
      </c>
      <c r="E103" s="116" t="inlineStr">
        <is>
          <t>백조</t>
        </is>
      </c>
      <c r="F103" s="116" t="inlineStr">
        <is>
          <t>백조싱크</t>
        </is>
      </c>
      <c r="G103" s="116" t="inlineStr">
        <is>
          <t>RA7848</t>
        </is>
      </c>
      <c r="H103" s="129" t="inlineStr">
        <is>
          <t>백조싱크 라피네 RA-7848 프리미엄 (자재만)</t>
        </is>
      </c>
      <c r="I103" s="116" t="inlineStr">
        <is>
          <t>표준, 주력</t>
        </is>
      </c>
      <c r="J103" s="116" t="inlineStr">
        <is>
          <t>per_ea</t>
        </is>
      </c>
      <c r="K103" s="165" t="n">
        <v>450000</v>
      </c>
      <c r="L103" s="165" t="n">
        <v>0</v>
      </c>
      <c r="M103" s="165">
        <f>K103+L103</f>
        <v/>
      </c>
      <c r="N103" s="116" t="inlineStr">
        <is>
          <t>시장가 추정</t>
        </is>
      </c>
      <c r="O103" s="116" t="inlineStr">
        <is>
          <t>2026-04</t>
        </is>
      </c>
      <c r="P103" s="116" t="inlineStr">
        <is>
          <t>operator</t>
        </is>
      </c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43">
        <f>LEFT(I103,FIND(",",I103&amp;",")-1)</f>
        <v/>
      </c>
      <c r="Z103" s="116">
        <f>C103&amp;"|"&amp;Y103</f>
        <v/>
      </c>
      <c r="AA103" s="116">
        <f>E103&amp;"|"&amp;Y103</f>
        <v/>
      </c>
    </row>
    <row r="104" ht="15" customHeight="1" s="95">
      <c r="A104" s="116" t="inlineStr">
        <is>
          <t>MAT-KS-003</t>
        </is>
      </c>
      <c r="B104" s="116" t="inlineStr">
        <is>
          <t>active</t>
        </is>
      </c>
      <c r="C104" s="116" t="inlineStr">
        <is>
          <t>kitchen_sink</t>
        </is>
      </c>
      <c r="D104" s="118" t="inlineStr">
        <is>
          <t>주방가구</t>
        </is>
      </c>
      <c r="E104" s="116" t="inlineStr">
        <is>
          <t>수입급</t>
        </is>
      </c>
      <c r="F104" s="116" t="inlineStr">
        <is>
          <t>Blanco</t>
        </is>
      </c>
      <c r="G104" s="116" t="inlineStr">
        <is>
          <t>SUBLINE500</t>
        </is>
      </c>
      <c r="H104" s="129" t="inlineStr">
        <is>
          <t>블랑코(Blanco) SUBLINE 500-U 언더마운트 수입 (자재만)</t>
        </is>
      </c>
      <c r="I104" s="116" t="inlineStr">
        <is>
          <t>고급, 주력</t>
        </is>
      </c>
      <c r="J104" s="116" t="inlineStr">
        <is>
          <t>per_ea</t>
        </is>
      </c>
      <c r="K104" s="165" t="n">
        <v>1200000</v>
      </c>
      <c r="L104" s="165" t="n">
        <v>0</v>
      </c>
      <c r="M104" s="165">
        <f>K104+L104</f>
        <v/>
      </c>
      <c r="N104" s="116" t="inlineStr">
        <is>
          <t>시장가 추정</t>
        </is>
      </c>
      <c r="O104" s="116" t="inlineStr">
        <is>
          <t>2026-04</t>
        </is>
      </c>
      <c r="P104" s="116" t="inlineStr">
        <is>
          <t>operator</t>
        </is>
      </c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43">
        <f>LEFT(I104,FIND(",",I104&amp;",")-1)</f>
        <v/>
      </c>
      <c r="Z104" s="116">
        <f>C104&amp;"|"&amp;Y104</f>
        <v/>
      </c>
      <c r="AA104" s="116">
        <f>E104&amp;"|"&amp;Y104</f>
        <v/>
      </c>
    </row>
    <row r="105" ht="15" customHeight="1" s="95">
      <c r="A105" s="116" t="inlineStr">
        <is>
          <t>MAT-SD-001</t>
        </is>
      </c>
      <c r="B105" s="116" t="inlineStr">
        <is>
          <t>active</t>
        </is>
      </c>
      <c r="C105" s="116" t="inlineStr">
        <is>
          <t>sliding_door</t>
        </is>
      </c>
      <c r="D105" s="118" t="inlineStr">
        <is>
          <t>중문</t>
        </is>
      </c>
      <c r="E105" s="116" t="inlineStr">
        <is>
          <t>보급</t>
        </is>
      </c>
      <c r="F105" s="116" t="inlineStr">
        <is>
          <t>영림</t>
        </is>
      </c>
      <c r="G105" s="116" t="inlineStr">
        <is>
          <t>보급3연동</t>
        </is>
      </c>
      <c r="H105" s="118" t="inlineStr">
        <is>
          <t>영림 보급형 3연동</t>
        </is>
      </c>
      <c r="I105" s="116" t="inlineStr">
        <is>
          <t>가성비, 주력</t>
        </is>
      </c>
      <c r="J105" s="116" t="inlineStr">
        <is>
          <t>per_ea</t>
        </is>
      </c>
      <c r="K105" s="165" t="n">
        <v>950000</v>
      </c>
      <c r="L105" s="165" t="n">
        <v>320000</v>
      </c>
      <c r="M105" s="165">
        <f>K105+L105</f>
        <v/>
      </c>
      <c r="N105" s="116" t="inlineStr">
        <is>
          <t>시장가 추정</t>
        </is>
      </c>
      <c r="O105" s="116" t="inlineStr">
        <is>
          <t>2026-04</t>
        </is>
      </c>
      <c r="P105" s="116" t="inlineStr">
        <is>
          <t>operator</t>
        </is>
      </c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43">
        <f>LEFT(I105,FIND(",",I105&amp;",")-1)</f>
        <v/>
      </c>
      <c r="Z105" s="116">
        <f>C105&amp;"|"&amp;Y105</f>
        <v/>
      </c>
      <c r="AA105" s="116">
        <f>E105&amp;"|"&amp;Y105</f>
        <v/>
      </c>
    </row>
    <row r="106" ht="15" customHeight="1" s="95">
      <c r="A106" s="116" t="inlineStr">
        <is>
          <t>MAT-SD-002</t>
        </is>
      </c>
      <c r="B106" s="116" t="inlineStr">
        <is>
          <t>active</t>
        </is>
      </c>
      <c r="C106" s="116" t="inlineStr">
        <is>
          <t>sliding_door</t>
        </is>
      </c>
      <c r="D106" s="118" t="inlineStr">
        <is>
          <t>중문</t>
        </is>
      </c>
      <c r="E106" s="116" t="inlineStr">
        <is>
          <t>보급</t>
        </is>
      </c>
      <c r="F106" s="116" t="inlineStr">
        <is>
          <t>예림</t>
        </is>
      </c>
      <c r="G106" s="116" t="inlineStr">
        <is>
          <t>보급양개</t>
        </is>
      </c>
      <c r="H106" s="118" t="inlineStr">
        <is>
          <t>예림 양개 보급형</t>
        </is>
      </c>
      <c r="I106" s="116" t="inlineStr">
        <is>
          <t>가성비</t>
        </is>
      </c>
      <c r="J106" s="116" t="inlineStr">
        <is>
          <t>per_ea</t>
        </is>
      </c>
      <c r="K106" s="165" t="n">
        <v>1100000</v>
      </c>
      <c r="L106" s="165" t="n">
        <v>380000</v>
      </c>
      <c r="M106" s="165">
        <f>K106+L106</f>
        <v/>
      </c>
      <c r="N106" s="116" t="inlineStr">
        <is>
          <t>시장가 추정</t>
        </is>
      </c>
      <c r="O106" s="116" t="inlineStr">
        <is>
          <t>2026-04</t>
        </is>
      </c>
      <c r="P106" s="116" t="inlineStr">
        <is>
          <t>operator</t>
        </is>
      </c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43">
        <f>LEFT(I106,FIND(",",I106&amp;",")-1)</f>
        <v/>
      </c>
      <c r="Z106" s="116">
        <f>C106&amp;"|"&amp;Y106</f>
        <v/>
      </c>
      <c r="AA106" s="116">
        <f>E106&amp;"|"&amp;Y106</f>
        <v/>
      </c>
    </row>
    <row r="107" ht="15" customHeight="1" s="95">
      <c r="A107" s="116" t="inlineStr">
        <is>
          <t>MAT-SD-003</t>
        </is>
      </c>
      <c r="B107" s="116" t="inlineStr">
        <is>
          <t>active</t>
        </is>
      </c>
      <c r="C107" s="116" t="inlineStr">
        <is>
          <t>sliding_door</t>
        </is>
      </c>
      <c r="D107" s="118" t="inlineStr">
        <is>
          <t>중문</t>
        </is>
      </c>
      <c r="E107" s="116" t="inlineStr">
        <is>
          <t>표준</t>
        </is>
      </c>
      <c r="F107" s="116" t="inlineStr">
        <is>
          <t>영림</t>
        </is>
      </c>
      <c r="G107" s="116" t="inlineStr">
        <is>
          <t>시그니처3연동</t>
        </is>
      </c>
      <c r="H107" s="118" t="inlineStr">
        <is>
          <t>영림 시그니처 3연동</t>
        </is>
      </c>
      <c r="I107" s="116" t="inlineStr">
        <is>
          <t>표준, 주력</t>
        </is>
      </c>
      <c r="J107" s="116" t="inlineStr">
        <is>
          <t>per_ea</t>
        </is>
      </c>
      <c r="K107" s="165" t="n">
        <v>1650000</v>
      </c>
      <c r="L107" s="165" t="n">
        <v>480000</v>
      </c>
      <c r="M107" s="165">
        <f>K107+L107</f>
        <v/>
      </c>
      <c r="N107" s="116" t="inlineStr">
        <is>
          <t>시장가 추정</t>
        </is>
      </c>
      <c r="O107" s="116" t="inlineStr">
        <is>
          <t>2026-04</t>
        </is>
      </c>
      <c r="P107" s="116" t="inlineStr">
        <is>
          <t>operator</t>
        </is>
      </c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43">
        <f>LEFT(I107,FIND(",",I107&amp;",")-1)</f>
        <v/>
      </c>
      <c r="Z107" s="116">
        <f>C107&amp;"|"&amp;Y107</f>
        <v/>
      </c>
      <c r="AA107" s="116">
        <f>E107&amp;"|"&amp;Y107</f>
        <v/>
      </c>
    </row>
    <row r="108" ht="15" customHeight="1" s="95">
      <c r="A108" s="116" t="inlineStr">
        <is>
          <t>MAT-SD-004</t>
        </is>
      </c>
      <c r="B108" s="116" t="inlineStr">
        <is>
          <t>active</t>
        </is>
      </c>
      <c r="C108" s="116" t="inlineStr">
        <is>
          <t>sliding_door</t>
        </is>
      </c>
      <c r="D108" s="118" t="inlineStr">
        <is>
          <t>중문</t>
        </is>
      </c>
      <c r="E108" s="116" t="inlineStr">
        <is>
          <t>표준</t>
        </is>
      </c>
      <c r="F108" s="116" t="inlineStr">
        <is>
          <t>예림</t>
        </is>
      </c>
      <c r="G108" s="116" t="inlineStr">
        <is>
          <t>한지3연동</t>
        </is>
      </c>
      <c r="H108" s="118" t="inlineStr">
        <is>
          <t>예림 한지 3연동</t>
        </is>
      </c>
      <c r="I108" s="116" t="inlineStr">
        <is>
          <t>표준</t>
        </is>
      </c>
      <c r="J108" s="116" t="inlineStr">
        <is>
          <t>per_ea</t>
        </is>
      </c>
      <c r="K108" s="165" t="n">
        <v>1950000</v>
      </c>
      <c r="L108" s="165" t="n">
        <v>520000</v>
      </c>
      <c r="M108" s="165">
        <f>K108+L108</f>
        <v/>
      </c>
      <c r="N108" s="116" t="inlineStr">
        <is>
          <t>시장가 추정</t>
        </is>
      </c>
      <c r="O108" s="116" t="inlineStr">
        <is>
          <t>2026-04</t>
        </is>
      </c>
      <c r="P108" s="116" t="inlineStr">
        <is>
          <t>operator</t>
        </is>
      </c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43">
        <f>LEFT(I108,FIND(",",I108&amp;",")-1)</f>
        <v/>
      </c>
      <c r="Z108" s="116">
        <f>C108&amp;"|"&amp;Y108</f>
        <v/>
      </c>
      <c r="AA108" s="116">
        <f>E108&amp;"|"&amp;Y108</f>
        <v/>
      </c>
    </row>
    <row r="109" ht="15" customHeight="1" s="95">
      <c r="A109" s="116" t="inlineStr">
        <is>
          <t>MAT-SD-005</t>
        </is>
      </c>
      <c r="B109" s="116" t="inlineStr">
        <is>
          <t>active</t>
        </is>
      </c>
      <c r="C109" s="116" t="inlineStr">
        <is>
          <t>sliding_door</t>
        </is>
      </c>
      <c r="D109" s="118" t="inlineStr">
        <is>
          <t>중문</t>
        </is>
      </c>
      <c r="E109" s="116" t="inlineStr">
        <is>
          <t>고급</t>
        </is>
      </c>
      <c r="F109" s="116" t="inlineStr">
        <is>
          <t>영림</t>
        </is>
      </c>
      <c r="G109" s="116" t="inlineStr">
        <is>
          <t>알루슬라이딩</t>
        </is>
      </c>
      <c r="H109" s="118" t="inlineStr">
        <is>
          <t>영림 알루미늄 슬라이딩</t>
        </is>
      </c>
      <c r="I109" s="116" t="inlineStr">
        <is>
          <t>고급, 주력</t>
        </is>
      </c>
      <c r="J109" s="116" t="inlineStr">
        <is>
          <t>per_ea</t>
        </is>
      </c>
      <c r="K109" s="165" t="n">
        <v>2800000</v>
      </c>
      <c r="L109" s="165" t="n">
        <v>650000</v>
      </c>
      <c r="M109" s="165">
        <f>K109+L109</f>
        <v/>
      </c>
      <c r="N109" s="116" t="inlineStr">
        <is>
          <t>시장가 추정</t>
        </is>
      </c>
      <c r="O109" s="116" t="inlineStr">
        <is>
          <t>2026-04</t>
        </is>
      </c>
      <c r="P109" s="116" t="inlineStr">
        <is>
          <t>operator</t>
        </is>
      </c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43">
        <f>LEFT(I109,FIND(",",I109&amp;",")-1)</f>
        <v/>
      </c>
      <c r="Z109" s="116">
        <f>C109&amp;"|"&amp;Y109</f>
        <v/>
      </c>
      <c r="AA109" s="116">
        <f>E109&amp;"|"&amp;Y109</f>
        <v/>
      </c>
    </row>
    <row r="110" ht="15" customHeight="1" s="95">
      <c r="A110" s="116" t="inlineStr">
        <is>
          <t>MAT-GF-001</t>
        </is>
      </c>
      <c r="B110" s="116" t="inlineStr">
        <is>
          <t>active</t>
        </is>
      </c>
      <c r="C110" s="116" t="inlineStr">
        <is>
          <t>general_furniture</t>
        </is>
      </c>
      <c r="D110" s="118" t="inlineStr">
        <is>
          <t>일반가구</t>
        </is>
      </c>
      <c r="E110" s="116" t="inlineStr">
        <is>
          <t>현관장</t>
        </is>
      </c>
      <c r="F110" s="116" t="inlineStr">
        <is>
          <t>비브랜드</t>
        </is>
      </c>
      <c r="G110" s="116" t="inlineStr">
        <is>
          <t>일반현관장</t>
        </is>
      </c>
      <c r="H110" s="118" t="inlineStr">
        <is>
          <t>비브랜드 일반 현관장</t>
        </is>
      </c>
      <c r="I110" s="116" t="inlineStr">
        <is>
          <t>가성비, 주력</t>
        </is>
      </c>
      <c r="J110" s="116" t="inlineStr">
        <is>
          <t>per_ea</t>
        </is>
      </c>
      <c r="K110" s="165" t="n">
        <v>480000</v>
      </c>
      <c r="L110" s="165" t="n">
        <v>180000</v>
      </c>
      <c r="M110" s="165">
        <f>K110+L110</f>
        <v/>
      </c>
      <c r="N110" s="116" t="inlineStr">
        <is>
          <t>시장가 추정</t>
        </is>
      </c>
      <c r="O110" s="116" t="inlineStr">
        <is>
          <t>2026-04</t>
        </is>
      </c>
      <c r="P110" s="116" t="inlineStr">
        <is>
          <t>operator</t>
        </is>
      </c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43">
        <f>LEFT(I110,FIND(",",I110&amp;",")-1)</f>
        <v/>
      </c>
      <c r="Z110" s="116">
        <f>C110&amp;"|"&amp;Y110</f>
        <v/>
      </c>
      <c r="AA110" s="116">
        <f>E110&amp;"|"&amp;Y110</f>
        <v/>
      </c>
    </row>
    <row r="111" ht="15" customHeight="1" s="95">
      <c r="A111" s="116" t="inlineStr">
        <is>
          <t>MAT-GF-002</t>
        </is>
      </c>
      <c r="B111" s="116" t="inlineStr">
        <is>
          <t>active</t>
        </is>
      </c>
      <c r="C111" s="116" t="inlineStr">
        <is>
          <t>general_furniture</t>
        </is>
      </c>
      <c r="D111" s="118" t="inlineStr">
        <is>
          <t>일반가구</t>
        </is>
      </c>
      <c r="E111" s="116" t="inlineStr">
        <is>
          <t>현관장</t>
        </is>
      </c>
      <c r="F111" s="116" t="inlineStr">
        <is>
          <t>한샘</t>
        </is>
      </c>
      <c r="G111" s="116" t="inlineStr">
        <is>
          <t>신발키큰장</t>
        </is>
      </c>
      <c r="H111" s="118" t="inlineStr">
        <is>
          <t>한샘 신발장+키큰장 풀세트</t>
        </is>
      </c>
      <c r="I111" s="116" t="inlineStr">
        <is>
          <t>표준, 주력</t>
        </is>
      </c>
      <c r="J111" s="116" t="inlineStr">
        <is>
          <t>per_ea</t>
        </is>
      </c>
      <c r="K111" s="165" t="n">
        <v>1250000</v>
      </c>
      <c r="L111" s="165" t="n">
        <v>280000</v>
      </c>
      <c r="M111" s="165">
        <f>K111+L111</f>
        <v/>
      </c>
      <c r="N111" s="116" t="inlineStr">
        <is>
          <t>시장가 추정</t>
        </is>
      </c>
      <c r="O111" s="116" t="inlineStr">
        <is>
          <t>2026-04</t>
        </is>
      </c>
      <c r="P111" s="116" t="inlineStr">
        <is>
          <t>operator</t>
        </is>
      </c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43">
        <f>LEFT(I111,FIND(",",I111&amp;",")-1)</f>
        <v/>
      </c>
      <c r="Z111" s="116">
        <f>C111&amp;"|"&amp;Y111</f>
        <v/>
      </c>
      <c r="AA111" s="116">
        <f>E111&amp;"|"&amp;Y111</f>
        <v/>
      </c>
    </row>
    <row r="112" ht="15" customHeight="1" s="95">
      <c r="A112" s="116" t="inlineStr">
        <is>
          <t>MAT-GF-003</t>
        </is>
      </c>
      <c r="B112" s="116" t="inlineStr">
        <is>
          <t>active</t>
        </is>
      </c>
      <c r="C112" s="116" t="inlineStr">
        <is>
          <t>general_furniture</t>
        </is>
      </c>
      <c r="D112" s="118" t="inlineStr">
        <is>
          <t>일반가구</t>
        </is>
      </c>
      <c r="E112" s="116" t="inlineStr">
        <is>
          <t>현관장</t>
        </is>
      </c>
      <c r="F112" s="116" t="inlineStr">
        <is>
          <t>한샘</t>
        </is>
      </c>
      <c r="G112" s="116" t="inlineStr">
        <is>
          <t>일반현관장</t>
        </is>
      </c>
      <c r="H112" s="118" t="inlineStr">
        <is>
          <t>한샘 일반 현관장</t>
        </is>
      </c>
      <c r="I112" s="116" t="inlineStr">
        <is>
          <t>표준</t>
        </is>
      </c>
      <c r="J112" s="116" t="inlineStr">
        <is>
          <t>per_ea</t>
        </is>
      </c>
      <c r="K112" s="165" t="n">
        <v>850000</v>
      </c>
      <c r="L112" s="165" t="n">
        <v>220000</v>
      </c>
      <c r="M112" s="165">
        <f>K112+L112</f>
        <v/>
      </c>
      <c r="N112" s="116" t="inlineStr">
        <is>
          <t>시장가 추정</t>
        </is>
      </c>
      <c r="O112" s="116" t="inlineStr">
        <is>
          <t>2026-04</t>
        </is>
      </c>
      <c r="P112" s="116" t="inlineStr">
        <is>
          <t>operator</t>
        </is>
      </c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43">
        <f>LEFT(I112,FIND(",",I112&amp;",")-1)</f>
        <v/>
      </c>
      <c r="Z112" s="116">
        <f>C112&amp;"|"&amp;Y112</f>
        <v/>
      </c>
      <c r="AA112" s="116">
        <f>E112&amp;"|"&amp;Y112</f>
        <v/>
      </c>
    </row>
    <row r="113" ht="15" customHeight="1" s="95">
      <c r="A113" s="116" t="inlineStr">
        <is>
          <t>MAT-GF-004</t>
        </is>
      </c>
      <c r="B113" s="116" t="inlineStr">
        <is>
          <t>active</t>
        </is>
      </c>
      <c r="C113" s="116" t="inlineStr">
        <is>
          <t>general_furniture</t>
        </is>
      </c>
      <c r="E113" s="116" t="inlineStr">
        <is>
          <t>거실</t>
        </is>
      </c>
      <c r="F113" s="116" t="inlineStr">
        <is>
          <t>리바트</t>
        </is>
      </c>
      <c r="G113" s="116" t="inlineStr">
        <is>
          <t>TV장</t>
        </is>
      </c>
      <c r="H113" s="118" t="inlineStr">
        <is>
          <t>리바트 거실 TV장</t>
        </is>
      </c>
      <c r="I113" s="116" t="inlineStr">
        <is>
          <t>표준</t>
        </is>
      </c>
      <c r="J113" s="116" t="inlineStr">
        <is>
          <t>per_ea</t>
        </is>
      </c>
      <c r="K113" s="165" t="n">
        <v>1650000</v>
      </c>
      <c r="L113" s="165" t="n">
        <v>350000</v>
      </c>
      <c r="M113" s="165">
        <f>K113+L113</f>
        <v/>
      </c>
      <c r="N113" s="116" t="inlineStr">
        <is>
          <t>시장가 추정</t>
        </is>
      </c>
      <c r="O113" s="116" t="inlineStr">
        <is>
          <t>2026-04</t>
        </is>
      </c>
      <c r="P113" s="116" t="inlineStr">
        <is>
          <t>operator</t>
        </is>
      </c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43">
        <f>LEFT(I113,FIND(",",I113&amp;",")-1)</f>
        <v/>
      </c>
      <c r="Z113" s="116">
        <f>C113&amp;"|"&amp;Y113</f>
        <v/>
      </c>
      <c r="AA113" s="116">
        <f>E113&amp;"|"&amp;Y113</f>
        <v/>
      </c>
    </row>
    <row r="114" ht="15" customHeight="1" s="95">
      <c r="A114" s="116" t="inlineStr">
        <is>
          <t>MAT-GF-005</t>
        </is>
      </c>
      <c r="B114" s="116" t="inlineStr">
        <is>
          <t>active</t>
        </is>
      </c>
      <c r="C114" s="116" t="inlineStr">
        <is>
          <t>general_furniture</t>
        </is>
      </c>
      <c r="D114" s="118" t="inlineStr">
        <is>
          <t>일반가구</t>
        </is>
      </c>
      <c r="E114" s="116" t="inlineStr">
        <is>
          <t>현관장</t>
        </is>
      </c>
      <c r="F114" s="116" t="inlineStr">
        <is>
          <t>한샘</t>
        </is>
      </c>
      <c r="G114" s="116" t="inlineStr">
        <is>
          <t>시그니처현관</t>
        </is>
      </c>
      <c r="H114" s="118" t="inlineStr">
        <is>
          <t>한샘 시그니처 현관장</t>
        </is>
      </c>
      <c r="I114" s="116" t="inlineStr">
        <is>
          <t>고급, 주력</t>
        </is>
      </c>
      <c r="J114" s="116" t="inlineStr">
        <is>
          <t>per_ea</t>
        </is>
      </c>
      <c r="K114" s="165" t="n">
        <v>2200000</v>
      </c>
      <c r="L114" s="165" t="n">
        <v>420000</v>
      </c>
      <c r="M114" s="165">
        <f>K114+L114</f>
        <v/>
      </c>
      <c r="N114" s="116" t="inlineStr">
        <is>
          <t>시장가 추정</t>
        </is>
      </c>
      <c r="O114" s="116" t="inlineStr">
        <is>
          <t>2026-04</t>
        </is>
      </c>
      <c r="P114" s="116" t="inlineStr">
        <is>
          <t>operator</t>
        </is>
      </c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43">
        <f>LEFT(I114,FIND(",",I114&amp;",")-1)</f>
        <v/>
      </c>
      <c r="Z114" s="116">
        <f>C114&amp;"|"&amp;Y114</f>
        <v/>
      </c>
      <c r="AA114" s="116">
        <f>E114&amp;"|"&amp;Y114</f>
        <v/>
      </c>
    </row>
    <row r="115" ht="15" customHeight="1" s="95">
      <c r="A115" s="116" t="inlineStr">
        <is>
          <t>MAT-GF-006</t>
        </is>
      </c>
      <c r="B115" s="116" t="inlineStr">
        <is>
          <t>active</t>
        </is>
      </c>
      <c r="C115" s="116" t="inlineStr">
        <is>
          <t>general_furniture</t>
        </is>
      </c>
      <c r="E115" s="116" t="inlineStr">
        <is>
          <t>거실</t>
        </is>
      </c>
      <c r="F115" s="116" t="inlineStr">
        <is>
          <t>한샘</t>
        </is>
      </c>
      <c r="G115" s="116" t="inlineStr">
        <is>
          <t>거실풀세트</t>
        </is>
      </c>
      <c r="H115" s="118" t="inlineStr">
        <is>
          <t>한샘 거실 TV장+장식장 풀세트</t>
        </is>
      </c>
      <c r="I115" s="116" t="inlineStr">
        <is>
          <t>고급</t>
        </is>
      </c>
      <c r="J115" s="116" t="inlineStr">
        <is>
          <t>per_ea</t>
        </is>
      </c>
      <c r="K115" s="165" t="n">
        <v>3500000</v>
      </c>
      <c r="L115" s="165" t="n">
        <v>580000</v>
      </c>
      <c r="M115" s="165">
        <f>K115+L115</f>
        <v/>
      </c>
      <c r="N115" s="116" t="inlineStr">
        <is>
          <t>시장가 추정</t>
        </is>
      </c>
      <c r="O115" s="116" t="inlineStr">
        <is>
          <t>2026-04</t>
        </is>
      </c>
      <c r="P115" s="116" t="inlineStr">
        <is>
          <t>operator</t>
        </is>
      </c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43">
        <f>LEFT(I115,FIND(",",I115&amp;",")-1)</f>
        <v/>
      </c>
      <c r="Z115" s="116">
        <f>C115&amp;"|"&amp;Y115</f>
        <v/>
      </c>
      <c r="AA115" s="116">
        <f>E115&amp;"|"&amp;Y115</f>
        <v/>
      </c>
    </row>
    <row r="116" ht="15" customHeight="1" s="95">
      <c r="A116" s="116" t="inlineStr">
        <is>
          <t>MAT-LD-001</t>
        </is>
      </c>
      <c r="B116" s="116" t="inlineStr">
        <is>
          <t>active</t>
        </is>
      </c>
      <c r="C116" s="116" t="inlineStr">
        <is>
          <t>lighting_downlight</t>
        </is>
      </c>
      <c r="D116" s="118" t="inlineStr">
        <is>
          <t>전기</t>
        </is>
      </c>
      <c r="E116" s="116" t="inlineStr">
        <is>
          <t>2인치</t>
        </is>
      </c>
      <c r="F116" s="116" t="inlineStr">
        <is>
          <t>비브랜드</t>
        </is>
      </c>
      <c r="G116" s="116" t="inlineStr">
        <is>
          <t>2인치일반</t>
        </is>
      </c>
      <c r="H116" s="118" t="inlineStr">
        <is>
          <t>일반 2인치 LED 다운라이트 (가성비)</t>
        </is>
      </c>
      <c r="I116" s="116" t="inlineStr">
        <is>
          <t>가성비, 주력</t>
        </is>
      </c>
      <c r="J116" s="116" t="inlineStr">
        <is>
          <t>per_ea</t>
        </is>
      </c>
      <c r="K116" s="165" t="n">
        <v>5000</v>
      </c>
      <c r="L116" s="165" t="n">
        <v>3000</v>
      </c>
      <c r="M116" s="165">
        <f>K116+L116</f>
        <v/>
      </c>
      <c r="N116" s="116" t="inlineStr">
        <is>
          <t>시장가 추정</t>
        </is>
      </c>
      <c r="O116" s="116" t="inlineStr">
        <is>
          <t>2026-04</t>
        </is>
      </c>
      <c r="P116" s="116" t="inlineStr">
        <is>
          <t>operator</t>
        </is>
      </c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43">
        <f>LEFT(I116,FIND(",",I116&amp;",")-1)</f>
        <v/>
      </c>
      <c r="Z116" s="116">
        <f>C116&amp;"|"&amp;Y116</f>
        <v/>
      </c>
      <c r="AA116" s="116">
        <f>E116&amp;"|"&amp;Y116</f>
        <v/>
      </c>
    </row>
    <row r="117" ht="15" customHeight="1" s="95">
      <c r="A117" s="116" t="inlineStr">
        <is>
          <t>MAT-LD-002</t>
        </is>
      </c>
      <c r="B117" s="116" t="inlineStr">
        <is>
          <t>active</t>
        </is>
      </c>
      <c r="C117" s="116" t="inlineStr">
        <is>
          <t>lighting_downlight</t>
        </is>
      </c>
      <c r="D117" s="118" t="inlineStr">
        <is>
          <t>전기</t>
        </is>
      </c>
      <c r="E117" s="116" t="inlineStr">
        <is>
          <t>2인치</t>
        </is>
      </c>
      <c r="F117" s="116" t="inlineStr">
        <is>
          <t>필립스</t>
        </is>
      </c>
      <c r="G117" s="116" t="inlineStr">
        <is>
          <t>2인치표준</t>
        </is>
      </c>
      <c r="H117" s="118" t="inlineStr">
        <is>
          <t>표준 2인치 LED 다운라이트 (필립스급)</t>
        </is>
      </c>
      <c r="I117" s="116" t="inlineStr">
        <is>
          <t>표준, 주력</t>
        </is>
      </c>
      <c r="J117" s="116" t="inlineStr">
        <is>
          <t>per_ea</t>
        </is>
      </c>
      <c r="K117" s="165" t="n">
        <v>8000</v>
      </c>
      <c r="L117" s="165" t="n">
        <v>4000</v>
      </c>
      <c r="M117" s="165">
        <f>K117+L117</f>
        <v/>
      </c>
      <c r="N117" s="116" t="inlineStr">
        <is>
          <t>시장가 추정</t>
        </is>
      </c>
      <c r="O117" s="116" t="inlineStr">
        <is>
          <t>2026-04</t>
        </is>
      </c>
      <c r="P117" s="116" t="inlineStr">
        <is>
          <t>operator</t>
        </is>
      </c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43">
        <f>LEFT(I117,FIND(",",I117&amp;",")-1)</f>
        <v/>
      </c>
      <c r="Z117" s="116">
        <f>C117&amp;"|"&amp;Y117</f>
        <v/>
      </c>
      <c r="AA117" s="116">
        <f>E117&amp;"|"&amp;Y117</f>
        <v/>
      </c>
    </row>
    <row r="118" ht="15" customHeight="1" s="95">
      <c r="A118" s="116" t="inlineStr">
        <is>
          <t>MAT-LD-003</t>
        </is>
      </c>
      <c r="B118" s="116" t="inlineStr">
        <is>
          <t>active</t>
        </is>
      </c>
      <c r="C118" s="116" t="inlineStr">
        <is>
          <t>lighting_downlight</t>
        </is>
      </c>
      <c r="D118" s="118" t="inlineStr">
        <is>
          <t>전기</t>
        </is>
      </c>
      <c r="E118" s="116" t="inlineStr">
        <is>
          <t>2인치</t>
        </is>
      </c>
      <c r="F118" s="116" t="inlineStr">
        <is>
          <t>오스람</t>
        </is>
      </c>
      <c r="G118" s="116" t="inlineStr">
        <is>
          <t>2인치디자인</t>
        </is>
      </c>
      <c r="H118" s="129" t="inlineStr">
        <is>
          <t>디자인 2인치 LED 다운라이트 (오스람·디자인급)</t>
        </is>
      </c>
      <c r="I118" s="116" t="inlineStr">
        <is>
          <t>고급, 주력</t>
        </is>
      </c>
      <c r="J118" s="116" t="inlineStr">
        <is>
          <t>per_ea</t>
        </is>
      </c>
      <c r="K118" s="165" t="n">
        <v>13000</v>
      </c>
      <c r="L118" s="165" t="n">
        <v>5000</v>
      </c>
      <c r="M118" s="165">
        <f>K118+L118</f>
        <v/>
      </c>
      <c r="N118" s="116" t="inlineStr">
        <is>
          <t>시장가 추정</t>
        </is>
      </c>
      <c r="O118" s="116" t="inlineStr">
        <is>
          <t>2026-04</t>
        </is>
      </c>
      <c r="P118" s="116" t="inlineStr">
        <is>
          <t>operator</t>
        </is>
      </c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43">
        <f>LEFT(I118,FIND(",",I118&amp;",")-1)</f>
        <v/>
      </c>
      <c r="Z118" s="116">
        <f>C118&amp;"|"&amp;Y118</f>
        <v/>
      </c>
      <c r="AA118" s="116">
        <f>E118&amp;"|"&amp;Y118</f>
        <v/>
      </c>
    </row>
    <row r="119" ht="15" customHeight="1" s="95">
      <c r="A119" s="116" t="inlineStr">
        <is>
          <t>MAT-LV-001</t>
        </is>
      </c>
      <c r="B119" s="116" t="inlineStr">
        <is>
          <t>active</t>
        </is>
      </c>
      <c r="C119" s="116" t="inlineStr">
        <is>
          <t>lighting_indirect_living</t>
        </is>
      </c>
      <c r="D119" s="118" t="inlineStr">
        <is>
          <t>전기</t>
        </is>
      </c>
      <c r="E119" s="116" t="inlineStr">
        <is>
          <t>간접</t>
        </is>
      </c>
      <c r="F119" s="116" t="inlineStr">
        <is>
          <t>현장시공</t>
        </is>
      </c>
      <c r="G119" s="116" t="inlineStr">
        <is>
          <t>거실간접_가성비</t>
        </is>
      </c>
      <c r="H119" s="118" t="inlineStr">
        <is>
          <t>가성비 등급에서는 미적용</t>
        </is>
      </c>
      <c r="I119" s="116" t="inlineStr">
        <is>
          <t>가성비, 주력</t>
        </is>
      </c>
      <c r="J119" s="116" t="inlineStr">
        <is>
          <t>per_set</t>
        </is>
      </c>
      <c r="K119" s="165" t="n">
        <v>0</v>
      </c>
      <c r="L119" s="165" t="n">
        <v>0</v>
      </c>
      <c r="M119" s="165">
        <f>K119+L119</f>
        <v/>
      </c>
      <c r="N119" s="116" t="inlineStr">
        <is>
          <t>시장가 추정</t>
        </is>
      </c>
      <c r="O119" s="116" t="inlineStr">
        <is>
          <t>2026-04</t>
        </is>
      </c>
      <c r="P119" s="116" t="inlineStr">
        <is>
          <t>operator</t>
        </is>
      </c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43">
        <f>LEFT(I119,FIND(",",I119&amp;",")-1)</f>
        <v/>
      </c>
      <c r="Z119" s="116">
        <f>C119&amp;"|"&amp;Y119</f>
        <v/>
      </c>
      <c r="AA119" s="116">
        <f>E119&amp;"|"&amp;Y119</f>
        <v/>
      </c>
    </row>
    <row r="120" ht="15" customHeight="1" s="95">
      <c r="A120" s="116" t="inlineStr">
        <is>
          <t>MAT-LV-002</t>
        </is>
      </c>
      <c r="B120" s="116" t="inlineStr">
        <is>
          <t>active</t>
        </is>
      </c>
      <c r="C120" s="116" t="inlineStr">
        <is>
          <t>lighting_indirect_living</t>
        </is>
      </c>
      <c r="D120" s="118" t="inlineStr">
        <is>
          <t>전기</t>
        </is>
      </c>
      <c r="E120" s="116" t="inlineStr">
        <is>
          <t>간접</t>
        </is>
      </c>
      <c r="F120" s="116" t="inlineStr">
        <is>
          <t>현장시공</t>
        </is>
      </c>
      <c r="G120" s="116" t="inlineStr">
        <is>
          <t>거실간접</t>
        </is>
      </c>
      <c r="H120" s="129" t="inlineStr">
        <is>
          <t>거실 천정·코니스 LED 간접조명 (자재+인건비)</t>
        </is>
      </c>
      <c r="I120" s="116" t="inlineStr">
        <is>
          <t>표준, 주력</t>
        </is>
      </c>
      <c r="J120" s="116" t="inlineStr">
        <is>
          <t>per_set</t>
        </is>
      </c>
      <c r="K120" s="165" t="n">
        <v>300000</v>
      </c>
      <c r="L120" s="165" t="n">
        <v>200000</v>
      </c>
      <c r="M120" s="165">
        <f>K120+L120</f>
        <v/>
      </c>
      <c r="N120" s="116" t="inlineStr">
        <is>
          <t>시장가 추정</t>
        </is>
      </c>
      <c r="O120" s="116" t="inlineStr">
        <is>
          <t>2026-04</t>
        </is>
      </c>
      <c r="P120" s="116" t="inlineStr">
        <is>
          <t>operator</t>
        </is>
      </c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43">
        <f>LEFT(I120,FIND(",",I120&amp;",")-1)</f>
        <v/>
      </c>
      <c r="Z120" s="116">
        <f>C120&amp;"|"&amp;Y120</f>
        <v/>
      </c>
      <c r="AA120" s="116">
        <f>E120&amp;"|"&amp;Y120</f>
        <v/>
      </c>
    </row>
    <row r="121" ht="15" customHeight="1" s="95">
      <c r="A121" s="116" t="inlineStr">
        <is>
          <t>MAT-LV-003</t>
        </is>
      </c>
      <c r="B121" s="116" t="inlineStr">
        <is>
          <t>active</t>
        </is>
      </c>
      <c r="C121" s="116" t="inlineStr">
        <is>
          <t>lighting_indirect_living</t>
        </is>
      </c>
      <c r="D121" s="118" t="inlineStr">
        <is>
          <t>전기</t>
        </is>
      </c>
      <c r="E121" s="116" t="inlineStr">
        <is>
          <t>간접</t>
        </is>
      </c>
      <c r="F121" s="116" t="inlineStr">
        <is>
          <t>현장시공</t>
        </is>
      </c>
      <c r="G121" s="116" t="inlineStr">
        <is>
          <t>거실간접고급</t>
        </is>
      </c>
      <c r="H121" s="129" t="inlineStr">
        <is>
          <t>거실 천정·코니스 LED 간접조명 (자재+인건비)</t>
        </is>
      </c>
      <c r="I121" s="116" t="inlineStr">
        <is>
          <t>고급, 주력</t>
        </is>
      </c>
      <c r="J121" s="116" t="inlineStr">
        <is>
          <t>per_set</t>
        </is>
      </c>
      <c r="K121" s="165" t="n">
        <v>300000</v>
      </c>
      <c r="L121" s="165" t="n">
        <v>200000</v>
      </c>
      <c r="M121" s="165">
        <f>K121+L121</f>
        <v/>
      </c>
      <c r="N121" s="116" t="inlineStr">
        <is>
          <t>시장가 추정</t>
        </is>
      </c>
      <c r="O121" s="116" t="inlineStr">
        <is>
          <t>2026-04</t>
        </is>
      </c>
      <c r="P121" s="116" t="inlineStr">
        <is>
          <t>operator</t>
        </is>
      </c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43">
        <f>LEFT(I121,FIND(",",I121&amp;",")-1)</f>
        <v/>
      </c>
      <c r="Z121" s="116">
        <f>C121&amp;"|"&amp;Y121</f>
        <v/>
      </c>
      <c r="AA121" s="116">
        <f>E121&amp;"|"&amp;Y121</f>
        <v/>
      </c>
    </row>
    <row r="122" ht="15" customHeight="1" s="95">
      <c r="A122" s="116" t="inlineStr">
        <is>
          <t>MAT-LH-001</t>
        </is>
      </c>
      <c r="B122" s="116" t="inlineStr">
        <is>
          <t>active</t>
        </is>
      </c>
      <c r="C122" s="116" t="inlineStr">
        <is>
          <t>lighting_indirect_bath</t>
        </is>
      </c>
      <c r="D122" s="118" t="inlineStr">
        <is>
          <t>전기</t>
        </is>
      </c>
      <c r="E122" s="116" t="inlineStr">
        <is>
          <t>간접</t>
        </is>
      </c>
      <c r="F122" s="116" t="inlineStr">
        <is>
          <t>현장시공</t>
        </is>
      </c>
      <c r="G122" s="116" t="inlineStr">
        <is>
          <t>욕실간접_가성비</t>
        </is>
      </c>
      <c r="H122" s="118" t="inlineStr">
        <is>
          <t>가성비 등급에서는 미적용</t>
        </is>
      </c>
      <c r="I122" s="116" t="inlineStr">
        <is>
          <t>가성비, 주력</t>
        </is>
      </c>
      <c r="J122" s="116" t="inlineStr">
        <is>
          <t>per_ea</t>
        </is>
      </c>
      <c r="K122" s="165" t="n">
        <v>0</v>
      </c>
      <c r="L122" s="165" t="n">
        <v>0</v>
      </c>
      <c r="M122" s="165">
        <f>K122+L122</f>
        <v/>
      </c>
      <c r="N122" s="116" t="inlineStr">
        <is>
          <t>시장가 추정</t>
        </is>
      </c>
      <c r="O122" s="116" t="inlineStr">
        <is>
          <t>2026-04</t>
        </is>
      </c>
      <c r="P122" s="116" t="inlineStr">
        <is>
          <t>operator</t>
        </is>
      </c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43">
        <f>LEFT(I122,FIND(",",I122&amp;",")-1)</f>
        <v/>
      </c>
      <c r="Z122" s="116">
        <f>C122&amp;"|"&amp;Y122</f>
        <v/>
      </c>
      <c r="AA122" s="116">
        <f>E122&amp;"|"&amp;Y122</f>
        <v/>
      </c>
    </row>
    <row r="123" ht="15" customHeight="1" s="95">
      <c r="A123" s="116" t="inlineStr">
        <is>
          <t>MAT-LH-002</t>
        </is>
      </c>
      <c r="B123" s="116" t="inlineStr">
        <is>
          <t>active</t>
        </is>
      </c>
      <c r="C123" s="116" t="inlineStr">
        <is>
          <t>lighting_indirect_bath</t>
        </is>
      </c>
      <c r="D123" s="118" t="inlineStr">
        <is>
          <t>전기</t>
        </is>
      </c>
      <c r="E123" s="116" t="inlineStr">
        <is>
          <t>간접</t>
        </is>
      </c>
      <c r="F123" s="116" t="inlineStr">
        <is>
          <t>현장시공</t>
        </is>
      </c>
      <c r="G123" s="116" t="inlineStr">
        <is>
          <t>욕실간접</t>
        </is>
      </c>
      <c r="H123" s="118" t="inlineStr">
        <is>
          <t>욕실당 LED 간접조명 (자재+인건비)</t>
        </is>
      </c>
      <c r="I123" s="116" t="inlineStr">
        <is>
          <t>표준, 주력</t>
        </is>
      </c>
      <c r="J123" s="116" t="inlineStr">
        <is>
          <t>per_ea</t>
        </is>
      </c>
      <c r="K123" s="165" t="n">
        <v>90000</v>
      </c>
      <c r="L123" s="165" t="n">
        <v>60000</v>
      </c>
      <c r="M123" s="165">
        <f>K123+L123</f>
        <v/>
      </c>
      <c r="N123" s="116" t="inlineStr">
        <is>
          <t>시장가 추정</t>
        </is>
      </c>
      <c r="O123" s="116" t="inlineStr">
        <is>
          <t>2026-04</t>
        </is>
      </c>
      <c r="P123" s="116" t="inlineStr">
        <is>
          <t>operator</t>
        </is>
      </c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43">
        <f>LEFT(I123,FIND(",",I123&amp;",")-1)</f>
        <v/>
      </c>
      <c r="Z123" s="116">
        <f>C123&amp;"|"&amp;Y123</f>
        <v/>
      </c>
      <c r="AA123" s="116">
        <f>E123&amp;"|"&amp;Y123</f>
        <v/>
      </c>
    </row>
    <row r="124" ht="15" customHeight="1" s="95">
      <c r="A124" s="116" t="inlineStr">
        <is>
          <t>MAT-LH-003</t>
        </is>
      </c>
      <c r="B124" s="116" t="inlineStr">
        <is>
          <t>active</t>
        </is>
      </c>
      <c r="C124" s="116" t="inlineStr">
        <is>
          <t>lighting_indirect_bath</t>
        </is>
      </c>
      <c r="D124" s="118" t="inlineStr">
        <is>
          <t>전기</t>
        </is>
      </c>
      <c r="E124" s="116" t="inlineStr">
        <is>
          <t>간접</t>
        </is>
      </c>
      <c r="F124" s="116" t="inlineStr">
        <is>
          <t>현장시공</t>
        </is>
      </c>
      <c r="G124" s="116" t="inlineStr">
        <is>
          <t>욕실간접고급</t>
        </is>
      </c>
      <c r="H124" s="118" t="inlineStr">
        <is>
          <t>욕실당 LED 간접조명 (자재+인건비)</t>
        </is>
      </c>
      <c r="I124" s="116" t="inlineStr">
        <is>
          <t>고급, 주력</t>
        </is>
      </c>
      <c r="J124" s="116" t="inlineStr">
        <is>
          <t>per_ea</t>
        </is>
      </c>
      <c r="K124" s="165" t="n">
        <v>90000</v>
      </c>
      <c r="L124" s="165" t="n">
        <v>60000</v>
      </c>
      <c r="M124" s="165">
        <f>K124+L124</f>
        <v/>
      </c>
      <c r="N124" s="116" t="inlineStr">
        <is>
          <t>시장가 추정</t>
        </is>
      </c>
      <c r="O124" s="116" t="inlineStr">
        <is>
          <t>2026-04</t>
        </is>
      </c>
      <c r="P124" s="116" t="inlineStr">
        <is>
          <t>operator</t>
        </is>
      </c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43">
        <f>LEFT(I124,FIND(",",I124&amp;",")-1)</f>
        <v/>
      </c>
      <c r="Z124" s="116">
        <f>C124&amp;"|"&amp;Y124</f>
        <v/>
      </c>
      <c r="AA124" s="116">
        <f>E124&amp;"|"&amp;Y124</f>
        <v/>
      </c>
    </row>
    <row r="125" ht="15" customHeight="1" s="95">
      <c r="A125" s="116" t="inlineStr">
        <is>
          <t>MAT-LE-001</t>
        </is>
      </c>
      <c r="B125" s="116" t="inlineStr">
        <is>
          <t>active</t>
        </is>
      </c>
      <c r="C125" s="116" t="inlineStr">
        <is>
          <t>lighting_magnetic_living</t>
        </is>
      </c>
      <c r="D125" s="118" t="inlineStr">
        <is>
          <t>전기</t>
        </is>
      </c>
      <c r="E125" s="116" t="inlineStr">
        <is>
          <t>마그네틱</t>
        </is>
      </c>
      <c r="F125" s="116" t="inlineStr">
        <is>
          <t>현장시공</t>
        </is>
      </c>
      <c r="G125" s="116" t="inlineStr">
        <is>
          <t>거실마그네틱_가성비</t>
        </is>
      </c>
      <c r="H125" s="118" t="inlineStr">
        <is>
          <t>가성비/표준에서는 미적용</t>
        </is>
      </c>
      <c r="I125" s="116" t="inlineStr">
        <is>
          <t>가성비, 주력</t>
        </is>
      </c>
      <c r="J125" s="116" t="inlineStr">
        <is>
          <t>per_set</t>
        </is>
      </c>
      <c r="K125" s="165" t="n">
        <v>0</v>
      </c>
      <c r="L125" s="165" t="n">
        <v>0</v>
      </c>
      <c r="M125" s="165">
        <f>K125+L125</f>
        <v/>
      </c>
      <c r="N125" s="116" t="inlineStr">
        <is>
          <t>시장가 추정</t>
        </is>
      </c>
      <c r="O125" s="116" t="inlineStr">
        <is>
          <t>2026-04</t>
        </is>
      </c>
      <c r="P125" s="116" t="inlineStr">
        <is>
          <t>operator</t>
        </is>
      </c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43">
        <f>LEFT(I125,FIND(",",I125&amp;",")-1)</f>
        <v/>
      </c>
      <c r="Z125" s="116">
        <f>C125&amp;"|"&amp;Y125</f>
        <v/>
      </c>
      <c r="AA125" s="116">
        <f>E125&amp;"|"&amp;Y125</f>
        <v/>
      </c>
    </row>
    <row r="126" ht="15" customHeight="1" s="95">
      <c r="A126" s="116" t="inlineStr">
        <is>
          <t>MAT-LE-002</t>
        </is>
      </c>
      <c r="B126" s="116" t="inlineStr">
        <is>
          <t>active</t>
        </is>
      </c>
      <c r="C126" s="116" t="inlineStr">
        <is>
          <t>lighting_magnetic_living</t>
        </is>
      </c>
      <c r="D126" s="118" t="inlineStr">
        <is>
          <t>전기</t>
        </is>
      </c>
      <c r="E126" s="116" t="inlineStr">
        <is>
          <t>마그네틱</t>
        </is>
      </c>
      <c r="F126" s="116" t="inlineStr">
        <is>
          <t>현장시공</t>
        </is>
      </c>
      <c r="G126" s="116" t="inlineStr">
        <is>
          <t>거실마그네틱_표준</t>
        </is>
      </c>
      <c r="H126" s="118" t="inlineStr">
        <is>
          <t>가성비/표준에서는 미적용</t>
        </is>
      </c>
      <c r="I126" s="116" t="inlineStr">
        <is>
          <t>표준, 주력</t>
        </is>
      </c>
      <c r="J126" s="116" t="inlineStr">
        <is>
          <t>per_set</t>
        </is>
      </c>
      <c r="K126" s="165" t="n">
        <v>0</v>
      </c>
      <c r="L126" s="165" t="n">
        <v>0</v>
      </c>
      <c r="M126" s="165">
        <f>K126+L126</f>
        <v/>
      </c>
      <c r="N126" s="116" t="inlineStr">
        <is>
          <t>시장가 추정</t>
        </is>
      </c>
      <c r="O126" s="116" t="inlineStr">
        <is>
          <t>2026-04</t>
        </is>
      </c>
      <c r="P126" s="116" t="inlineStr">
        <is>
          <t>operator</t>
        </is>
      </c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43">
        <f>LEFT(I126,FIND(",",I126&amp;",")-1)</f>
        <v/>
      </c>
      <c r="Z126" s="116">
        <f>C126&amp;"|"&amp;Y126</f>
        <v/>
      </c>
      <c r="AA126" s="116">
        <f>E126&amp;"|"&amp;Y126</f>
        <v/>
      </c>
    </row>
    <row r="127" ht="15" customHeight="1" s="95">
      <c r="A127" s="116" t="inlineStr">
        <is>
          <t>MAT-LE-003</t>
        </is>
      </c>
      <c r="B127" s="116" t="inlineStr">
        <is>
          <t>active</t>
        </is>
      </c>
      <c r="C127" s="116" t="inlineStr">
        <is>
          <t>lighting_magnetic_living</t>
        </is>
      </c>
      <c r="D127" s="118" t="inlineStr">
        <is>
          <t>전기</t>
        </is>
      </c>
      <c r="E127" s="116" t="inlineStr">
        <is>
          <t>마그네틱</t>
        </is>
      </c>
      <c r="F127" s="116" t="inlineStr">
        <is>
          <t>현장시공</t>
        </is>
      </c>
      <c r="G127" s="116" t="inlineStr">
        <is>
          <t>거실마그네틱</t>
        </is>
      </c>
      <c r="H127" s="129" t="inlineStr">
        <is>
          <t>거실 마그네틱 라인조명 (자재+인건비+목공비)</t>
        </is>
      </c>
      <c r="I127" s="116" t="inlineStr">
        <is>
          <t>고급, 주력</t>
        </is>
      </c>
      <c r="J127" s="116" t="inlineStr">
        <is>
          <t>per_set</t>
        </is>
      </c>
      <c r="K127" s="165" t="n">
        <v>600000</v>
      </c>
      <c r="L127" s="165" t="n">
        <v>400000</v>
      </c>
      <c r="M127" s="165">
        <f>K127+L127</f>
        <v/>
      </c>
      <c r="N127" s="116" t="inlineStr">
        <is>
          <t>시장가 추정</t>
        </is>
      </c>
      <c r="O127" s="116" t="inlineStr">
        <is>
          <t>2026-04</t>
        </is>
      </c>
      <c r="P127" s="116" t="inlineStr">
        <is>
          <t>operator</t>
        </is>
      </c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43">
        <f>LEFT(I127,FIND(",",I127&amp;",")-1)</f>
        <v/>
      </c>
      <c r="Z127" s="116">
        <f>C127&amp;"|"&amp;Y127</f>
        <v/>
      </c>
      <c r="AA127" s="116">
        <f>E127&amp;"|"&amp;Y127</f>
        <v/>
      </c>
    </row>
    <row r="128" ht="15" customHeight="1" s="95">
      <c r="A128" s="116" t="inlineStr">
        <is>
          <t>MAT-LF-001</t>
        </is>
      </c>
      <c r="B128" s="116" t="inlineStr">
        <is>
          <t>active</t>
        </is>
      </c>
      <c r="C128" s="143" t="inlineStr">
        <is>
          <t>lighting_magnetic_kitchen</t>
        </is>
      </c>
      <c r="D128" s="118" t="inlineStr">
        <is>
          <t>전기</t>
        </is>
      </c>
      <c r="E128" s="116" t="inlineStr">
        <is>
          <t>마그네틱</t>
        </is>
      </c>
      <c r="F128" s="116" t="inlineStr">
        <is>
          <t>현장시공</t>
        </is>
      </c>
      <c r="G128" s="116" t="inlineStr">
        <is>
          <t>주방마그네틱_가성비</t>
        </is>
      </c>
      <c r="H128" s="118" t="inlineStr">
        <is>
          <t>가성비/표준에서는 미적용</t>
        </is>
      </c>
      <c r="I128" s="116" t="inlineStr">
        <is>
          <t>가성비, 주력</t>
        </is>
      </c>
      <c r="J128" s="116" t="inlineStr">
        <is>
          <t>per_set</t>
        </is>
      </c>
      <c r="K128" s="165" t="n">
        <v>0</v>
      </c>
      <c r="L128" s="165" t="n">
        <v>0</v>
      </c>
      <c r="M128" s="165">
        <f>K128+L128</f>
        <v/>
      </c>
      <c r="N128" s="116" t="inlineStr">
        <is>
          <t>시장가 추정</t>
        </is>
      </c>
      <c r="O128" s="116" t="inlineStr">
        <is>
          <t>2026-04</t>
        </is>
      </c>
      <c r="P128" s="116" t="inlineStr">
        <is>
          <t>operator</t>
        </is>
      </c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43">
        <f>LEFT(I128,FIND(",",I128&amp;",")-1)</f>
        <v/>
      </c>
      <c r="Z128" s="116">
        <f>C128&amp;"|"&amp;Y128</f>
        <v/>
      </c>
      <c r="AA128" s="116">
        <f>E128&amp;"|"&amp;Y128</f>
        <v/>
      </c>
    </row>
    <row r="129" ht="15" customHeight="1" s="95">
      <c r="A129" s="116" t="inlineStr">
        <is>
          <t>MAT-LF-002</t>
        </is>
      </c>
      <c r="B129" s="116" t="inlineStr">
        <is>
          <t>active</t>
        </is>
      </c>
      <c r="C129" s="143" t="inlineStr">
        <is>
          <t>lighting_magnetic_kitchen</t>
        </is>
      </c>
      <c r="D129" s="118" t="inlineStr">
        <is>
          <t>전기</t>
        </is>
      </c>
      <c r="E129" s="116" t="inlineStr">
        <is>
          <t>마그네틱</t>
        </is>
      </c>
      <c r="F129" s="116" t="inlineStr">
        <is>
          <t>현장시공</t>
        </is>
      </c>
      <c r="G129" s="116" t="inlineStr">
        <is>
          <t>주방마그네틱_표준</t>
        </is>
      </c>
      <c r="H129" s="118" t="inlineStr">
        <is>
          <t>가성비/표준에서는 미적용</t>
        </is>
      </c>
      <c r="I129" s="116" t="inlineStr">
        <is>
          <t>표준, 주력</t>
        </is>
      </c>
      <c r="J129" s="116" t="inlineStr">
        <is>
          <t>per_set</t>
        </is>
      </c>
      <c r="K129" s="165" t="n">
        <v>0</v>
      </c>
      <c r="L129" s="165" t="n">
        <v>0</v>
      </c>
      <c r="M129" s="165">
        <f>K129+L129</f>
        <v/>
      </c>
      <c r="N129" s="116" t="inlineStr">
        <is>
          <t>시장가 추정</t>
        </is>
      </c>
      <c r="O129" s="116" t="inlineStr">
        <is>
          <t>2026-04</t>
        </is>
      </c>
      <c r="P129" s="116" t="inlineStr">
        <is>
          <t>operator</t>
        </is>
      </c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43">
        <f>LEFT(I129,FIND(",",I129&amp;",")-1)</f>
        <v/>
      </c>
      <c r="Z129" s="116">
        <f>C129&amp;"|"&amp;Y129</f>
        <v/>
      </c>
      <c r="AA129" s="116">
        <f>E129&amp;"|"&amp;Y129</f>
        <v/>
      </c>
    </row>
    <row r="130" ht="15" customHeight="1" s="95">
      <c r="A130" s="116" t="inlineStr">
        <is>
          <t>MAT-LF-003</t>
        </is>
      </c>
      <c r="B130" s="116" t="inlineStr">
        <is>
          <t>active</t>
        </is>
      </c>
      <c r="C130" s="143" t="inlineStr">
        <is>
          <t>lighting_magnetic_kitchen</t>
        </is>
      </c>
      <c r="D130" s="118" t="inlineStr">
        <is>
          <t>전기</t>
        </is>
      </c>
      <c r="E130" s="116" t="inlineStr">
        <is>
          <t>마그네틱</t>
        </is>
      </c>
      <c r="F130" s="116" t="inlineStr">
        <is>
          <t>현장시공</t>
        </is>
      </c>
      <c r="G130" s="116" t="inlineStr">
        <is>
          <t>주방마그네틱</t>
        </is>
      </c>
      <c r="H130" s="129" t="inlineStr">
        <is>
          <t>주방 마그네틱 라인조명 (자재+인건비+목공비)</t>
        </is>
      </c>
      <c r="I130" s="116" t="inlineStr">
        <is>
          <t>고급, 주력</t>
        </is>
      </c>
      <c r="J130" s="116" t="inlineStr">
        <is>
          <t>per_set</t>
        </is>
      </c>
      <c r="K130" s="165" t="n">
        <v>300000</v>
      </c>
      <c r="L130" s="165" t="n">
        <v>200000</v>
      </c>
      <c r="M130" s="165">
        <f>K130+L130</f>
        <v/>
      </c>
      <c r="N130" s="116" t="inlineStr">
        <is>
          <t>시장가 추정</t>
        </is>
      </c>
      <c r="O130" s="116" t="inlineStr">
        <is>
          <t>2026-04</t>
        </is>
      </c>
      <c r="P130" s="116" t="inlineStr">
        <is>
          <t>operator</t>
        </is>
      </c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43">
        <f>LEFT(I130,FIND(",",I130&amp;",")-1)</f>
        <v/>
      </c>
      <c r="Z130" s="116">
        <f>C130&amp;"|"&amp;Y130</f>
        <v/>
      </c>
      <c r="AA130" s="116">
        <f>E130&amp;"|"&amp;Y130</f>
        <v/>
      </c>
    </row>
    <row r="131" ht="15" customHeight="1" s="95">
      <c r="A131" s="116" t="inlineStr">
        <is>
          <t>MAT-WD-001</t>
        </is>
      </c>
      <c r="B131" s="116" t="inlineStr">
        <is>
          <t>active</t>
        </is>
      </c>
      <c r="C131" s="116" t="inlineStr">
        <is>
          <t>window</t>
        </is>
      </c>
      <c r="D131" s="118" t="inlineStr">
        <is>
          <t>창호</t>
        </is>
      </c>
      <c r="E131" s="116" t="inlineStr">
        <is>
          <t>PVC</t>
        </is>
      </c>
      <c r="F131" s="116" t="inlineStr">
        <is>
          <t>KCC창호</t>
        </is>
      </c>
      <c r="G131" s="116" t="inlineStr">
        <is>
          <t>PVC이중창가성비</t>
        </is>
      </c>
      <c r="H131" s="129" t="inlineStr">
        <is>
          <t>KCC창호 PVC 이중창 (단열재 50T + 사다리차·부대비 포함)</t>
        </is>
      </c>
      <c r="I131" s="116" t="inlineStr">
        <is>
          <t>가성비, 주력</t>
        </is>
      </c>
      <c r="J131" s="116" t="inlineStr">
        <is>
          <t>per_m2</t>
        </is>
      </c>
      <c r="K131" s="165" t="n">
        <v>145000</v>
      </c>
      <c r="L131" s="165" t="n">
        <v>80000</v>
      </c>
      <c r="M131" s="165">
        <f>K131+L131</f>
        <v/>
      </c>
      <c r="N131" s="116" t="inlineStr">
        <is>
          <t>시장가 추정</t>
        </is>
      </c>
      <c r="O131" s="116" t="inlineStr">
        <is>
          <t>2026-04</t>
        </is>
      </c>
      <c r="P131" s="116" t="inlineStr">
        <is>
          <t>operator</t>
        </is>
      </c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43">
        <f>LEFT(I131,FIND(",",I131&amp;",")-1)</f>
        <v/>
      </c>
      <c r="Z131" s="116">
        <f>C131&amp;"|"&amp;Y131</f>
        <v/>
      </c>
      <c r="AA131" s="116">
        <f>E131&amp;"|"&amp;Y131</f>
        <v/>
      </c>
    </row>
    <row r="132" ht="15" customHeight="1" s="95">
      <c r="A132" s="116" t="inlineStr">
        <is>
          <t>MAT-WD-002</t>
        </is>
      </c>
      <c r="B132" s="116" t="inlineStr">
        <is>
          <t>active</t>
        </is>
      </c>
      <c r="C132" s="116" t="inlineStr">
        <is>
          <t>window</t>
        </is>
      </c>
      <c r="D132" s="118" t="inlineStr">
        <is>
          <t>창호</t>
        </is>
      </c>
      <c r="E132" s="116" t="inlineStr">
        <is>
          <t>PVC</t>
        </is>
      </c>
      <c r="F132" s="116" t="inlineStr">
        <is>
          <t>LX하우시스</t>
        </is>
      </c>
      <c r="G132" s="116" t="inlineStr">
        <is>
          <t>수퍼세이브</t>
        </is>
      </c>
      <c r="H132" s="129" t="inlineStr">
        <is>
          <t>LX하우시스 수퍼세이브 이중창 (단열재 50T + 사다리차·부대비 포함)</t>
        </is>
      </c>
      <c r="I132" s="116" t="inlineStr">
        <is>
          <t>표준, 주력</t>
        </is>
      </c>
      <c r="J132" s="116" t="inlineStr">
        <is>
          <t>per_m2</t>
        </is>
      </c>
      <c r="K132" s="165" t="n">
        <v>200000</v>
      </c>
      <c r="L132" s="165" t="n">
        <v>90000</v>
      </c>
      <c r="M132" s="165">
        <f>K132+L132</f>
        <v/>
      </c>
      <c r="N132" s="116" t="inlineStr">
        <is>
          <t>시장가 추정</t>
        </is>
      </c>
      <c r="O132" s="116" t="inlineStr">
        <is>
          <t>2026-04</t>
        </is>
      </c>
      <c r="P132" s="116" t="inlineStr">
        <is>
          <t>operator</t>
        </is>
      </c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43">
        <f>LEFT(I132,FIND(",",I132&amp;",")-1)</f>
        <v/>
      </c>
      <c r="Z132" s="116">
        <f>C132&amp;"|"&amp;Y132</f>
        <v/>
      </c>
      <c r="AA132" s="116">
        <f>E132&amp;"|"&amp;Y132</f>
        <v/>
      </c>
    </row>
    <row r="133" ht="15" customHeight="1" s="95">
      <c r="A133" s="116" t="inlineStr">
        <is>
          <t>MAT-WD-003</t>
        </is>
      </c>
      <c r="B133" s="116" t="inlineStr">
        <is>
          <t>active</t>
        </is>
      </c>
      <c r="C133" s="116" t="inlineStr">
        <is>
          <t>window</t>
        </is>
      </c>
      <c r="D133" s="118" t="inlineStr">
        <is>
          <t>창호</t>
        </is>
      </c>
      <c r="E133" s="116" t="inlineStr">
        <is>
          <t>PVC</t>
        </is>
      </c>
      <c r="F133" s="116" t="inlineStr">
        <is>
          <t>LX하우시스</t>
        </is>
      </c>
      <c r="G133" s="116" t="inlineStr">
        <is>
          <t>SLS460</t>
        </is>
      </c>
      <c r="H133" s="129" t="inlineStr">
        <is>
          <t>LX하우시스 SLS-460 시스템 (단열재 70T + 사다리차·부대비 포함)</t>
        </is>
      </c>
      <c r="I133" s="116" t="inlineStr">
        <is>
          <t>표준</t>
        </is>
      </c>
      <c r="J133" s="116" t="inlineStr">
        <is>
          <t>per_m2</t>
        </is>
      </c>
      <c r="K133" s="165" t="n">
        <v>245000</v>
      </c>
      <c r="L133" s="165" t="n">
        <v>100000</v>
      </c>
      <c r="M133" s="165">
        <f>K133+L133</f>
        <v/>
      </c>
      <c r="N133" s="116" t="inlineStr">
        <is>
          <t>시장가 추정</t>
        </is>
      </c>
      <c r="O133" s="116" t="inlineStr">
        <is>
          <t>2026-04</t>
        </is>
      </c>
      <c r="P133" s="116" t="inlineStr">
        <is>
          <t>operator</t>
        </is>
      </c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43">
        <f>LEFT(I133,FIND(",",I133&amp;",")-1)</f>
        <v/>
      </c>
      <c r="Z133" s="116">
        <f>C133&amp;"|"&amp;Y133</f>
        <v/>
      </c>
      <c r="AA133" s="116">
        <f>E133&amp;"|"&amp;Y133</f>
        <v/>
      </c>
    </row>
    <row r="134" ht="15" customHeight="1" s="95">
      <c r="A134" s="116" t="inlineStr">
        <is>
          <t>MAT-WD-004</t>
        </is>
      </c>
      <c r="B134" s="116" t="inlineStr">
        <is>
          <t>active</t>
        </is>
      </c>
      <c r="C134" s="116" t="inlineStr">
        <is>
          <t>window</t>
        </is>
      </c>
      <c r="D134" s="118" t="inlineStr">
        <is>
          <t>창호</t>
        </is>
      </c>
      <c r="E134" s="116" t="inlineStr">
        <is>
          <t>알루미늄</t>
        </is>
      </c>
      <c r="F134" s="116" t="inlineStr">
        <is>
          <t>이건창호</t>
        </is>
      </c>
      <c r="G134" s="116" t="inlineStr">
        <is>
          <t>EAGON</t>
        </is>
      </c>
      <c r="H134" s="129" t="inlineStr">
        <is>
          <t>이건창호 EAGON 시스템 (단열재 70T + 외벽 단열 보강 + 사다리차·부대비 포함)</t>
        </is>
      </c>
      <c r="I134" s="116" t="inlineStr">
        <is>
          <t>고급, 주력</t>
        </is>
      </c>
      <c r="J134" s="116" t="inlineStr">
        <is>
          <t>per_m2</t>
        </is>
      </c>
      <c r="K134" s="165" t="n">
        <v>270000</v>
      </c>
      <c r="L134" s="165" t="n">
        <v>100000</v>
      </c>
      <c r="M134" s="165">
        <f>K134+L134</f>
        <v/>
      </c>
      <c r="N134" s="116" t="inlineStr">
        <is>
          <t>시장가 추정</t>
        </is>
      </c>
      <c r="O134" s="116" t="inlineStr">
        <is>
          <t>2026-04</t>
        </is>
      </c>
      <c r="P134" s="116" t="inlineStr">
        <is>
          <t>operator</t>
        </is>
      </c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43">
        <f>LEFT(I134,FIND(",",I134&amp;",")-1)</f>
        <v/>
      </c>
      <c r="Z134" s="116">
        <f>C134&amp;"|"&amp;Y134</f>
        <v/>
      </c>
      <c r="AA134" s="116">
        <f>E134&amp;"|"&amp;Y134</f>
        <v/>
      </c>
    </row>
    <row r="135" ht="15" customHeight="1" s="95">
      <c r="A135" s="116" t="inlineStr">
        <is>
          <t>MAT-AC-001</t>
        </is>
      </c>
      <c r="B135" s="116" t="inlineStr">
        <is>
          <t>active</t>
        </is>
      </c>
      <c r="C135" s="116" t="inlineStr">
        <is>
          <t>aircon</t>
        </is>
      </c>
      <c r="D135" s="118" t="inlineStr">
        <is>
          <t>에어컨</t>
        </is>
      </c>
      <c r="E135" s="116" t="inlineStr">
        <is>
          <t>벽걸이</t>
        </is>
      </c>
      <c r="F135" s="116" t="inlineStr">
        <is>
          <t>LG</t>
        </is>
      </c>
      <c r="G135" s="116" t="inlineStr">
        <is>
          <t>휘센6평</t>
        </is>
      </c>
      <c r="H135" s="118" t="inlineStr">
        <is>
          <t>LG 휘센 벽걸이 6평형</t>
        </is>
      </c>
      <c r="I135" s="116" t="inlineStr">
        <is>
          <t>가성비, 주력</t>
        </is>
      </c>
      <c r="J135" s="116" t="inlineStr">
        <is>
          <t>per_ea</t>
        </is>
      </c>
      <c r="K135" s="165" t="n">
        <v>850000</v>
      </c>
      <c r="L135" s="165" t="n">
        <v>280000</v>
      </c>
      <c r="M135" s="165">
        <f>K135+L135</f>
        <v/>
      </c>
      <c r="N135" s="116" t="inlineStr">
        <is>
          <t>시장 시세 검증 (2026-05)</t>
        </is>
      </c>
      <c r="O135" s="116" t="inlineStr">
        <is>
          <t>2026-05</t>
        </is>
      </c>
      <c r="P135" s="116" t="inlineStr">
        <is>
          <t>operator</t>
        </is>
      </c>
      <c r="Q135" s="174" t="n"/>
      <c r="R135" s="174" t="n"/>
      <c r="S135" s="174" t="n"/>
      <c r="T135" s="174" t="n"/>
      <c r="U135" s="174" t="n"/>
      <c r="V135" s="174" t="n"/>
      <c r="W135" s="174" t="n"/>
      <c r="X135" s="116" t="inlineStr">
        <is>
          <t>LG/삼성+SNS (벽걸이 25~30만)</t>
        </is>
      </c>
      <c r="Y135" s="143">
        <f>LEFT(I135,FIND(",",I135&amp;",")-1)</f>
        <v/>
      </c>
      <c r="Z135" s="116">
        <f>C135&amp;"|"&amp;Y135</f>
        <v/>
      </c>
      <c r="AA135" s="116">
        <f>E135&amp;"|"&amp;Y135</f>
        <v/>
      </c>
    </row>
    <row r="136" ht="15" customHeight="1" s="95">
      <c r="A136" s="116" t="inlineStr">
        <is>
          <t>MAT-AC-002</t>
        </is>
      </c>
      <c r="B136" s="116" t="inlineStr">
        <is>
          <t>active</t>
        </is>
      </c>
      <c r="C136" s="116" t="inlineStr">
        <is>
          <t>aircon</t>
        </is>
      </c>
      <c r="D136" s="118" t="inlineStr">
        <is>
          <t>에어컨</t>
        </is>
      </c>
      <c r="E136" s="116" t="inlineStr">
        <is>
          <t>천장형</t>
        </is>
      </c>
      <c r="F136" s="116" t="inlineStr">
        <is>
          <t>삼성</t>
        </is>
      </c>
      <c r="G136" s="116" t="inlineStr">
        <is>
          <t>무풍1Way</t>
        </is>
      </c>
      <c r="H136" s="118" t="inlineStr">
        <is>
          <t>삼성 무풍 1Way</t>
        </is>
      </c>
      <c r="I136" s="116" t="inlineStr">
        <is>
          <t>표준, 주력</t>
        </is>
      </c>
      <c r="J136" s="116" t="inlineStr">
        <is>
          <t>per_ea</t>
        </is>
      </c>
      <c r="K136" s="165" t="n">
        <v>1650000</v>
      </c>
      <c r="L136" s="165" t="n">
        <v>550000</v>
      </c>
      <c r="M136" s="165">
        <f>K136+L136</f>
        <v/>
      </c>
      <c r="N136" s="116" t="inlineStr">
        <is>
          <t>시장 시세 검증 (2026-05)</t>
        </is>
      </c>
      <c r="O136" s="116" t="inlineStr">
        <is>
          <t>2026-05</t>
        </is>
      </c>
      <c r="P136" s="116" t="inlineStr">
        <is>
          <t>operator</t>
        </is>
      </c>
      <c r="Q136" s="174" t="n"/>
      <c r="R136" s="174" t="n"/>
      <c r="S136" s="174" t="n"/>
      <c r="T136" s="174" t="n"/>
      <c r="U136" s="174" t="n"/>
      <c r="V136" s="174" t="n"/>
      <c r="W136" s="174" t="n"/>
      <c r="X136" s="116" t="inlineStr">
        <is>
          <t>뉴비스·LG (1way 30+매립/드레인)</t>
        </is>
      </c>
      <c r="Y136" s="143">
        <f>LEFT(I136,FIND(",",I136&amp;",")-1)</f>
        <v/>
      </c>
      <c r="Z136" s="116">
        <f>C136&amp;"|"&amp;Y136</f>
        <v/>
      </c>
      <c r="AA136" s="116">
        <f>E136&amp;"|"&amp;Y136</f>
        <v/>
      </c>
    </row>
    <row r="137" ht="15" customHeight="1" s="95">
      <c r="A137" s="116" t="inlineStr">
        <is>
          <t>MAT-AC-003</t>
        </is>
      </c>
      <c r="B137" s="116" t="inlineStr">
        <is>
          <t>active</t>
        </is>
      </c>
      <c r="C137" s="116" t="inlineStr">
        <is>
          <t>aircon</t>
        </is>
      </c>
      <c r="D137" s="118" t="inlineStr">
        <is>
          <t>에어컨</t>
        </is>
      </c>
      <c r="E137" s="116" t="inlineStr">
        <is>
          <t>천장형</t>
        </is>
      </c>
      <c r="F137" s="116" t="inlineStr">
        <is>
          <t>LG</t>
        </is>
      </c>
      <c r="G137" s="116" t="inlineStr">
        <is>
          <t>휘센4Way</t>
        </is>
      </c>
      <c r="H137" s="118" t="inlineStr">
        <is>
          <t>LG 휘센 천장형 4Way</t>
        </is>
      </c>
      <c r="I137" s="116" t="inlineStr">
        <is>
          <t>고급, 주력</t>
        </is>
      </c>
      <c r="J137" s="116" t="inlineStr">
        <is>
          <t>per_ea</t>
        </is>
      </c>
      <c r="K137" s="165" t="n">
        <v>2200000</v>
      </c>
      <c r="L137" s="165" t="n">
        <v>700000</v>
      </c>
      <c r="M137" s="165">
        <f>K137+L137</f>
        <v/>
      </c>
      <c r="N137" s="116" t="inlineStr">
        <is>
          <t>시장 시세 검증 (2026-05)</t>
        </is>
      </c>
      <c r="O137" s="116" t="inlineStr">
        <is>
          <t>2026-05</t>
        </is>
      </c>
      <c r="P137" s="116" t="inlineStr">
        <is>
          <t>operator</t>
        </is>
      </c>
      <c r="Q137" s="174" t="n"/>
      <c r="R137" s="174" t="n"/>
      <c r="S137" s="174" t="n"/>
      <c r="T137" s="174" t="n"/>
      <c r="U137" s="174" t="n"/>
      <c r="V137" s="174" t="n"/>
      <c r="W137" s="174" t="n"/>
      <c r="X137" s="116" t="inlineStr">
        <is>
          <t>뉴비스·LG (4way 45+매립/드레인)</t>
        </is>
      </c>
      <c r="Y137" s="143">
        <f>LEFT(I137,FIND(",",I137&amp;",")-1)</f>
        <v/>
      </c>
      <c r="Z137" s="116">
        <f>C137&amp;"|"&amp;Y137</f>
        <v/>
      </c>
      <c r="AA137" s="116">
        <f>E137&amp;"|"&amp;Y137</f>
        <v/>
      </c>
    </row>
    <row r="138" ht="15" customHeight="1" s="95">
      <c r="A138" s="116" t="inlineStr">
        <is>
          <t>MAT-AO-001</t>
        </is>
      </c>
      <c r="B138" s="116" t="inlineStr">
        <is>
          <t>active</t>
        </is>
      </c>
      <c r="C138" s="116" t="inlineStr">
        <is>
          <t>aircon_outdoor</t>
        </is>
      </c>
      <c r="D138" s="118" t="inlineStr">
        <is>
          <t>에어컨</t>
        </is>
      </c>
      <c r="E138" s="116" t="inlineStr">
        <is>
          <t>보급</t>
        </is>
      </c>
      <c r="F138" s="116" t="inlineStr">
        <is>
          <t>LG</t>
        </is>
      </c>
      <c r="G138" s="116" t="inlineStr">
        <is>
          <t>보급멀티</t>
        </is>
      </c>
      <c r="H138" s="118" t="inlineStr">
        <is>
          <t>LG 보급형 멀티 실외기 4룸 대응</t>
        </is>
      </c>
      <c r="I138" s="116" t="inlineStr">
        <is>
          <t>가성비, 주력</t>
        </is>
      </c>
      <c r="J138" s="116" t="inlineStr">
        <is>
          <t>per_ea</t>
        </is>
      </c>
      <c r="K138" s="165" t="n">
        <v>1200000</v>
      </c>
      <c r="L138" s="165" t="n">
        <v>250000</v>
      </c>
      <c r="M138" s="165">
        <f>K138+L138</f>
        <v/>
      </c>
      <c r="N138" s="116" t="inlineStr">
        <is>
          <t>시장가 추정</t>
        </is>
      </c>
      <c r="O138" s="116" t="inlineStr">
        <is>
          <t>2026-04</t>
        </is>
      </c>
      <c r="P138" s="116" t="inlineStr">
        <is>
          <t>operator</t>
        </is>
      </c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43">
        <f>LEFT(I138,FIND(",",I138&amp;",")-1)</f>
        <v/>
      </c>
      <c r="Z138" s="116">
        <f>C138&amp;"|"&amp;Y138</f>
        <v/>
      </c>
      <c r="AA138" s="116">
        <f>E138&amp;"|"&amp;Y138</f>
        <v/>
      </c>
    </row>
    <row r="139" ht="15" customHeight="1" s="95">
      <c r="A139" s="116" t="inlineStr">
        <is>
          <t>MAT-AO-002</t>
        </is>
      </c>
      <c r="B139" s="116" t="inlineStr">
        <is>
          <t>active</t>
        </is>
      </c>
      <c r="C139" s="116" t="inlineStr">
        <is>
          <t>aircon_outdoor</t>
        </is>
      </c>
      <c r="D139" s="118" t="inlineStr">
        <is>
          <t>에어컨</t>
        </is>
      </c>
      <c r="E139" s="116" t="inlineStr">
        <is>
          <t>표준</t>
        </is>
      </c>
      <c r="F139" s="116" t="inlineStr">
        <is>
          <t>LG</t>
        </is>
      </c>
      <c r="G139" s="116" t="inlineStr">
        <is>
          <t>휘센멀티</t>
        </is>
      </c>
      <c r="H139" s="118" t="inlineStr">
        <is>
          <t>LG 휘센 멀티 실외기 5룸 대응</t>
        </is>
      </c>
      <c r="I139" s="116" t="inlineStr">
        <is>
          <t>표준, 주력</t>
        </is>
      </c>
      <c r="J139" s="116" t="inlineStr">
        <is>
          <t>per_ea</t>
        </is>
      </c>
      <c r="K139" s="165" t="n">
        <v>1800000</v>
      </c>
      <c r="L139" s="165" t="n">
        <v>320000</v>
      </c>
      <c r="M139" s="165">
        <f>K139+L139</f>
        <v/>
      </c>
      <c r="N139" s="116" t="inlineStr">
        <is>
          <t>시장가 추정</t>
        </is>
      </c>
      <c r="O139" s="116" t="inlineStr">
        <is>
          <t>2026-04</t>
        </is>
      </c>
      <c r="P139" s="116" t="inlineStr">
        <is>
          <t>operator</t>
        </is>
      </c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43">
        <f>LEFT(I139,FIND(",",I139&amp;",")-1)</f>
        <v/>
      </c>
      <c r="Z139" s="116">
        <f>C139&amp;"|"&amp;Y139</f>
        <v/>
      </c>
      <c r="AA139" s="116">
        <f>E139&amp;"|"&amp;Y139</f>
        <v/>
      </c>
    </row>
    <row r="140" ht="15" customHeight="1" s="95">
      <c r="A140" s="116" t="inlineStr">
        <is>
          <t>MAT-AO-003</t>
        </is>
      </c>
      <c r="B140" s="116" t="inlineStr">
        <is>
          <t>active</t>
        </is>
      </c>
      <c r="C140" s="116" t="inlineStr">
        <is>
          <t>aircon_outdoor</t>
        </is>
      </c>
      <c r="D140" s="118" t="inlineStr">
        <is>
          <t>에어컨</t>
        </is>
      </c>
      <c r="E140" s="116" t="inlineStr">
        <is>
          <t>고급</t>
        </is>
      </c>
      <c r="F140" s="116" t="inlineStr">
        <is>
          <t>삼성</t>
        </is>
      </c>
      <c r="G140" s="116" t="inlineStr">
        <is>
          <t>인버터멀티</t>
        </is>
      </c>
      <c r="H140" s="118" t="inlineStr">
        <is>
          <t>삼성 인버터 멀티 실외기 6룸 대응</t>
        </is>
      </c>
      <c r="I140" s="116" t="inlineStr">
        <is>
          <t>고급, 주력</t>
        </is>
      </c>
      <c r="J140" s="116" t="inlineStr">
        <is>
          <t>per_ea</t>
        </is>
      </c>
      <c r="K140" s="165" t="n">
        <v>2500000</v>
      </c>
      <c r="L140" s="165" t="n">
        <v>380000</v>
      </c>
      <c r="M140" s="165">
        <f>K140+L140</f>
        <v/>
      </c>
      <c r="N140" s="116" t="inlineStr">
        <is>
          <t>시장가 추정</t>
        </is>
      </c>
      <c r="O140" s="116" t="inlineStr">
        <is>
          <t>2026-04</t>
        </is>
      </c>
      <c r="P140" s="116" t="inlineStr">
        <is>
          <t>operator</t>
        </is>
      </c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43">
        <f>LEFT(I140,FIND(",",I140&amp;",")-1)</f>
        <v/>
      </c>
      <c r="Z140" s="116">
        <f>C140&amp;"|"&amp;Y140</f>
        <v/>
      </c>
      <c r="AA140" s="116">
        <f>E140&amp;"|"&amp;Y140</f>
        <v/>
      </c>
    </row>
    <row r="141" ht="15" customHeight="1" s="95">
      <c r="A141" s="116" t="inlineStr">
        <is>
          <t>MAT-CL-001</t>
        </is>
      </c>
      <c r="B141" s="116" t="inlineStr">
        <is>
          <t>active</t>
        </is>
      </c>
      <c r="C141" s="116" t="inlineStr">
        <is>
          <t>closet</t>
        </is>
      </c>
      <c r="D141" s="118" t="inlineStr">
        <is>
          <t>일반가구</t>
        </is>
      </c>
      <c r="E141" s="116" t="inlineStr">
        <is>
          <t>사제</t>
        </is>
      </c>
      <c r="F141" s="116" t="inlineStr">
        <is>
          <t>사제</t>
        </is>
      </c>
      <c r="G141" s="116" t="inlineStr">
        <is>
          <t>사제LPM</t>
        </is>
      </c>
      <c r="H141" s="118" t="inlineStr">
        <is>
          <t>사제 슬라이딩 LPM 도어</t>
        </is>
      </c>
      <c r="I141" s="116" t="inlineStr">
        <is>
          <t>가성비, 주력</t>
        </is>
      </c>
      <c r="J141" s="116" t="inlineStr">
        <is>
          <t>per_m</t>
        </is>
      </c>
      <c r="K141" s="165" t="n">
        <v>480000</v>
      </c>
      <c r="L141" s="165" t="n">
        <v>180000</v>
      </c>
      <c r="M141" s="165">
        <f>K141+L141</f>
        <v/>
      </c>
      <c r="N141" s="116" t="inlineStr">
        <is>
          <t>시장가 추정</t>
        </is>
      </c>
      <c r="O141" s="116" t="inlineStr">
        <is>
          <t>2026-04</t>
        </is>
      </c>
      <c r="P141" s="116" t="inlineStr">
        <is>
          <t>operator</t>
        </is>
      </c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43">
        <f>LEFT(I141,FIND(",",I141&amp;",")-1)</f>
        <v/>
      </c>
      <c r="Z141" s="116">
        <f>C141&amp;"|"&amp;Y141</f>
        <v/>
      </c>
      <c r="AA141" s="116">
        <f>E141&amp;"|"&amp;Y141</f>
        <v/>
      </c>
    </row>
    <row r="142" ht="15" customHeight="1" s="95">
      <c r="A142" s="116" t="inlineStr">
        <is>
          <t>MAT-CL-002</t>
        </is>
      </c>
      <c r="B142" s="116" t="inlineStr">
        <is>
          <t>active</t>
        </is>
      </c>
      <c r="C142" s="116" t="inlineStr">
        <is>
          <t>closet</t>
        </is>
      </c>
      <c r="D142" s="118" t="inlineStr">
        <is>
          <t>일반가구</t>
        </is>
      </c>
      <c r="E142" s="116" t="inlineStr">
        <is>
          <t>한샘</t>
        </is>
      </c>
      <c r="F142" s="116" t="inlineStr">
        <is>
          <t>한샘</t>
        </is>
      </c>
      <c r="G142" s="116" t="inlineStr">
        <is>
          <t>슬라이딩LPM</t>
        </is>
      </c>
      <c r="H142" s="118" t="inlineStr">
        <is>
          <t>한샘 슬라이딩 LPM (2.4m)</t>
        </is>
      </c>
      <c r="I142" s="116" t="inlineStr">
        <is>
          <t>표준, 주력</t>
        </is>
      </c>
      <c r="J142" s="116" t="inlineStr">
        <is>
          <t>per_m</t>
        </is>
      </c>
      <c r="K142" s="165" t="n">
        <v>720000</v>
      </c>
      <c r="L142" s="165" t="n">
        <v>220000</v>
      </c>
      <c r="M142" s="165">
        <f>K142+L142</f>
        <v/>
      </c>
      <c r="N142" s="116" t="inlineStr">
        <is>
          <t>시장가 추정</t>
        </is>
      </c>
      <c r="O142" s="116" t="inlineStr">
        <is>
          <t>2026-04</t>
        </is>
      </c>
      <c r="P142" s="116" t="inlineStr">
        <is>
          <t>operator</t>
        </is>
      </c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43">
        <f>LEFT(I142,FIND(",",I142&amp;",")-1)</f>
        <v/>
      </c>
      <c r="Z142" s="116">
        <f>C142&amp;"|"&amp;Y142</f>
        <v/>
      </c>
      <c r="AA142" s="116">
        <f>E142&amp;"|"&amp;Y142</f>
        <v/>
      </c>
    </row>
    <row r="143" ht="15" customHeight="1" s="95">
      <c r="A143" s="116" t="inlineStr">
        <is>
          <t>MAT-CL-003</t>
        </is>
      </c>
      <c r="B143" s="116" t="inlineStr">
        <is>
          <t>active</t>
        </is>
      </c>
      <c r="C143" s="116" t="inlineStr">
        <is>
          <t>closet</t>
        </is>
      </c>
      <c r="D143" s="118" t="inlineStr">
        <is>
          <t>일반가구</t>
        </is>
      </c>
      <c r="E143" s="116" t="inlineStr">
        <is>
          <t>리바트</t>
        </is>
      </c>
      <c r="F143" s="116" t="inlineStr">
        <is>
          <t>리바트</t>
        </is>
      </c>
      <c r="G143" s="116" t="inlineStr">
        <is>
          <t>시스템PET</t>
        </is>
      </c>
      <c r="H143" s="118" t="inlineStr">
        <is>
          <t>리바트 시스템 옷장 PET</t>
        </is>
      </c>
      <c r="I143" s="116" t="inlineStr">
        <is>
          <t>표준</t>
        </is>
      </c>
      <c r="J143" s="116" t="inlineStr">
        <is>
          <t>per_m</t>
        </is>
      </c>
      <c r="K143" s="165" t="n">
        <v>950000</v>
      </c>
      <c r="L143" s="165" t="n">
        <v>280000</v>
      </c>
      <c r="M143" s="165">
        <f>K143+L143</f>
        <v/>
      </c>
      <c r="N143" s="116" t="inlineStr">
        <is>
          <t>시장가 추정</t>
        </is>
      </c>
      <c r="O143" s="116" t="inlineStr">
        <is>
          <t>2026-04</t>
        </is>
      </c>
      <c r="P143" s="116" t="inlineStr">
        <is>
          <t>operator</t>
        </is>
      </c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43">
        <f>LEFT(I143,FIND(",",I143&amp;",")-1)</f>
        <v/>
      </c>
      <c r="Z143" s="116">
        <f>C143&amp;"|"&amp;Y143</f>
        <v/>
      </c>
      <c r="AA143" s="116">
        <f>E143&amp;"|"&amp;Y143</f>
        <v/>
      </c>
    </row>
    <row r="144" ht="15" customHeight="1" s="95">
      <c r="A144" s="116" t="inlineStr">
        <is>
          <t>MAT-CL-004</t>
        </is>
      </c>
      <c r="B144" s="116" t="inlineStr">
        <is>
          <t>active</t>
        </is>
      </c>
      <c r="C144" s="116" t="inlineStr">
        <is>
          <t>closet</t>
        </is>
      </c>
      <c r="D144" s="118" t="inlineStr">
        <is>
          <t>일반가구</t>
        </is>
      </c>
      <c r="E144" s="116" t="inlineStr">
        <is>
          <t>한샘</t>
        </is>
      </c>
      <c r="F144" s="116" t="inlineStr">
        <is>
          <t>한샘</t>
        </is>
      </c>
      <c r="G144" s="116" t="inlineStr">
        <is>
          <t>시그니처우레탄</t>
        </is>
      </c>
      <c r="H144" s="118" t="inlineStr">
        <is>
          <t>한샘 시그니처 우레탄 도장</t>
        </is>
      </c>
      <c r="I144" s="116" t="inlineStr">
        <is>
          <t>고급, 주력</t>
        </is>
      </c>
      <c r="J144" s="116" t="inlineStr">
        <is>
          <t>per_m</t>
        </is>
      </c>
      <c r="K144" s="165" t="n">
        <v>1450000</v>
      </c>
      <c r="L144" s="165" t="n">
        <v>380000</v>
      </c>
      <c r="M144" s="165">
        <f>K144+L144</f>
        <v/>
      </c>
      <c r="N144" s="116" t="inlineStr">
        <is>
          <t>시장가 추정</t>
        </is>
      </c>
      <c r="O144" s="116" t="inlineStr">
        <is>
          <t>2026-04</t>
        </is>
      </c>
      <c r="P144" s="116" t="inlineStr">
        <is>
          <t>operator</t>
        </is>
      </c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43">
        <f>LEFT(I144,FIND(",",I144&amp;",")-1)</f>
        <v/>
      </c>
      <c r="Z144" s="116">
        <f>C144&amp;"|"&amp;Y144</f>
        <v/>
      </c>
      <c r="AA144" s="116">
        <f>E144&amp;"|"&amp;Y144</f>
        <v/>
      </c>
    </row>
    <row r="145" ht="15" customHeight="1" s="95">
      <c r="A145" s="116" t="inlineStr">
        <is>
          <t>MAT-CF-001</t>
        </is>
      </c>
      <c r="B145" s="116" t="inlineStr">
        <is>
          <t>active</t>
        </is>
      </c>
      <c r="C145" s="116" t="inlineStr">
        <is>
          <t>ceiling_fan</t>
        </is>
      </c>
      <c r="D145" s="118" t="inlineStr">
        <is>
          <t>실링팬</t>
        </is>
      </c>
      <c r="E145" s="116" t="inlineStr">
        <is>
          <t>일반</t>
        </is>
      </c>
      <c r="F145" s="116" t="inlineStr">
        <is>
          <t>비브랜드</t>
        </is>
      </c>
      <c r="G145" s="116" t="inlineStr">
        <is>
          <t>일반실링</t>
        </is>
      </c>
      <c r="H145" s="118" t="inlineStr">
        <is>
          <t>sove ver2 132cm</t>
        </is>
      </c>
      <c r="I145" s="116" t="inlineStr">
        <is>
          <t>가성비, 주력</t>
        </is>
      </c>
      <c r="J145" s="116" t="inlineStr">
        <is>
          <t>per_ea</t>
        </is>
      </c>
      <c r="K145" s="165" t="n">
        <v>150000</v>
      </c>
      <c r="L145" s="165" t="n">
        <v>150000</v>
      </c>
      <c r="M145" s="165">
        <f>K145+L145</f>
        <v/>
      </c>
      <c r="N145" s="116" t="inlineStr">
        <is>
          <t>시장가 추정</t>
        </is>
      </c>
      <c r="O145" s="116" t="inlineStr">
        <is>
          <t>2026-04</t>
        </is>
      </c>
      <c r="P145" s="116" t="inlineStr">
        <is>
          <t>operator</t>
        </is>
      </c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43">
        <f>LEFT(I145,FIND(",",I145&amp;",")-1)</f>
        <v/>
      </c>
      <c r="Z145" s="116">
        <f>C145&amp;"|"&amp;Y145</f>
        <v/>
      </c>
      <c r="AA145" s="116">
        <f>E145&amp;"|"&amp;Y145</f>
        <v/>
      </c>
    </row>
    <row r="146" ht="15" customHeight="1" s="95">
      <c r="A146" s="116" t="inlineStr">
        <is>
          <t>MAT-CF-002</t>
        </is>
      </c>
      <c r="B146" s="116" t="inlineStr">
        <is>
          <t>active</t>
        </is>
      </c>
      <c r="C146" s="116" t="inlineStr">
        <is>
          <t>ceiling_fan</t>
        </is>
      </c>
      <c r="D146" s="118" t="inlineStr">
        <is>
          <t>실링팬</t>
        </is>
      </c>
      <c r="E146" s="116" t="inlineStr">
        <is>
          <t>브랜드</t>
        </is>
      </c>
      <c r="F146" s="116" t="inlineStr">
        <is>
          <t>수입 일반</t>
        </is>
      </c>
      <c r="G146" s="116" t="inlineStr">
        <is>
          <t>루씨에어</t>
        </is>
      </c>
      <c r="H146" s="118" t="inlineStr">
        <is>
          <t>레이더3 132cm</t>
        </is>
      </c>
      <c r="I146" s="116" t="inlineStr">
        <is>
          <t>표준, 주력</t>
        </is>
      </c>
      <c r="J146" s="116" t="inlineStr">
        <is>
          <t>per_ea</t>
        </is>
      </c>
      <c r="K146" s="165" t="n">
        <v>580000</v>
      </c>
      <c r="L146" s="165" t="n">
        <v>150000</v>
      </c>
      <c r="M146" s="165">
        <f>K146+L146</f>
        <v/>
      </c>
      <c r="N146" s="116" t="inlineStr">
        <is>
          <t>시장가 추정</t>
        </is>
      </c>
      <c r="O146" s="116" t="inlineStr">
        <is>
          <t>2026-04</t>
        </is>
      </c>
      <c r="P146" s="116" t="inlineStr">
        <is>
          <t>operator</t>
        </is>
      </c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43">
        <f>LEFT(I146,FIND(",",I146&amp;",")-1)</f>
        <v/>
      </c>
      <c r="Z146" s="116">
        <f>C146&amp;"|"&amp;Y146</f>
        <v/>
      </c>
      <c r="AA146" s="116">
        <f>E146&amp;"|"&amp;Y146</f>
        <v/>
      </c>
    </row>
    <row r="147" ht="15" customHeight="1" s="95">
      <c r="A147" s="116" t="inlineStr">
        <is>
          <t>MAT-CF-003</t>
        </is>
      </c>
      <c r="B147" s="116" t="inlineStr">
        <is>
          <t>active</t>
        </is>
      </c>
      <c r="C147" s="116" t="inlineStr">
        <is>
          <t>ceiling_fan</t>
        </is>
      </c>
      <c r="D147" s="118" t="inlineStr">
        <is>
          <t>실링팬</t>
        </is>
      </c>
      <c r="E147" s="116" t="inlineStr">
        <is>
          <t>디자인</t>
        </is>
      </c>
      <c r="F147" s="116" t="inlineStr">
        <is>
          <t>수입 고급</t>
        </is>
      </c>
      <c r="G147" s="116" t="inlineStr">
        <is>
          <t>에어라트론</t>
        </is>
      </c>
      <c r="H147" s="118" t="inlineStr">
        <is>
          <t>AE3 126cm</t>
        </is>
      </c>
      <c r="I147" s="116" t="inlineStr">
        <is>
          <t>고급, 주력</t>
        </is>
      </c>
      <c r="J147" s="116" t="inlineStr">
        <is>
          <t>per_ea</t>
        </is>
      </c>
      <c r="K147" s="165" t="n">
        <v>950000</v>
      </c>
      <c r="L147" s="165" t="n">
        <v>180000</v>
      </c>
      <c r="M147" s="165">
        <f>K147+L147</f>
        <v/>
      </c>
      <c r="N147" s="116" t="inlineStr">
        <is>
          <t>시장가 추정</t>
        </is>
      </c>
      <c r="O147" s="116" t="inlineStr">
        <is>
          <t>2026-04</t>
        </is>
      </c>
      <c r="P147" s="116" t="inlineStr">
        <is>
          <t>operator</t>
        </is>
      </c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43">
        <f>LEFT(I147,FIND(",",I147&amp;",")-1)</f>
        <v/>
      </c>
      <c r="Z147" s="116">
        <f>C147&amp;"|"&amp;Y147</f>
        <v/>
      </c>
      <c r="AA147" s="116">
        <f>E147&amp;"|"&amp;Y147</f>
        <v/>
      </c>
    </row>
    <row r="148" ht="15" customHeight="1" s="95">
      <c r="A148" s="116" t="inlineStr">
        <is>
          <t>MAT-CB-001</t>
        </is>
      </c>
      <c r="B148" s="116" t="inlineStr">
        <is>
          <t>active</t>
        </is>
      </c>
      <c r="C148" s="116" t="inlineStr">
        <is>
          <t>carpentry_base</t>
        </is>
      </c>
      <c r="D148" s="118" t="inlineStr">
        <is>
          <t>목공사</t>
        </is>
      </c>
      <c r="E148" s="116" t="inlineStr">
        <is>
          <t>기본</t>
        </is>
      </c>
      <c r="F148" s="116" t="inlineStr">
        <is>
          <t>현장시공</t>
        </is>
      </c>
      <c r="G148" s="116" t="inlineStr">
        <is>
          <t>기본세팅</t>
        </is>
      </c>
      <c r="H148" s="129" t="inlineStr">
        <is>
          <t>목공사 발생 시 기본 출장·세팅 (목수팀 1회)</t>
        </is>
      </c>
      <c r="I148" s="116" t="inlineStr">
        <is>
          <t>가성비, 주력</t>
        </is>
      </c>
      <c r="J148" s="116" t="inlineStr">
        <is>
          <t>per_set</t>
        </is>
      </c>
      <c r="K148" s="165" t="n">
        <v>0</v>
      </c>
      <c r="L148" s="165" t="n">
        <v>1000000</v>
      </c>
      <c r="M148" s="165">
        <f>K148+L148</f>
        <v/>
      </c>
      <c r="N148" s="116" t="inlineStr">
        <is>
          <t>시장가 추정</t>
        </is>
      </c>
      <c r="O148" s="116" t="inlineStr">
        <is>
          <t>2026-04</t>
        </is>
      </c>
      <c r="P148" s="116" t="inlineStr">
        <is>
          <t>operator</t>
        </is>
      </c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43">
        <f>LEFT(I148,FIND(",",I148&amp;",")-1)</f>
        <v/>
      </c>
      <c r="Z148" s="116">
        <f>C148&amp;"|"&amp;Y148</f>
        <v/>
      </c>
      <c r="AA148" s="116">
        <f>E148&amp;"|"&amp;Y148</f>
        <v/>
      </c>
    </row>
    <row r="149" ht="15" customHeight="1" s="95">
      <c r="A149" s="116" t="inlineStr">
        <is>
          <t>MAT-CB-002</t>
        </is>
      </c>
      <c r="B149" s="116" t="inlineStr">
        <is>
          <t>active</t>
        </is>
      </c>
      <c r="C149" s="116" t="inlineStr">
        <is>
          <t>carpentry_base</t>
        </is>
      </c>
      <c r="D149" s="118" t="inlineStr">
        <is>
          <t>목공사</t>
        </is>
      </c>
      <c r="E149" s="116" t="inlineStr">
        <is>
          <t>기본</t>
        </is>
      </c>
      <c r="F149" s="116" t="inlineStr">
        <is>
          <t>현장시공</t>
        </is>
      </c>
      <c r="G149" s="116" t="inlineStr">
        <is>
          <t>기본세팅</t>
        </is>
      </c>
      <c r="H149" s="129" t="inlineStr">
        <is>
          <t>목공사 발생 시 기본 출장·세팅 (목수팀 1회)</t>
        </is>
      </c>
      <c r="I149" s="116" t="inlineStr">
        <is>
          <t>표준, 주력</t>
        </is>
      </c>
      <c r="J149" s="116" t="inlineStr">
        <is>
          <t>per_set</t>
        </is>
      </c>
      <c r="K149" s="165" t="n">
        <v>0</v>
      </c>
      <c r="L149" s="165" t="n">
        <v>1000000</v>
      </c>
      <c r="M149" s="165">
        <f>K149+L149</f>
        <v/>
      </c>
      <c r="N149" s="116" t="inlineStr">
        <is>
          <t>시장가 추정</t>
        </is>
      </c>
      <c r="O149" s="116" t="inlineStr">
        <is>
          <t>2026-04</t>
        </is>
      </c>
      <c r="P149" s="116" t="inlineStr">
        <is>
          <t>operator</t>
        </is>
      </c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43">
        <f>LEFT(I149,FIND(",",I149&amp;",")-1)</f>
        <v/>
      </c>
      <c r="Z149" s="116">
        <f>C149&amp;"|"&amp;Y149</f>
        <v/>
      </c>
      <c r="AA149" s="116">
        <f>E149&amp;"|"&amp;Y149</f>
        <v/>
      </c>
    </row>
    <row r="150" ht="15" customHeight="1" s="95">
      <c r="A150" s="116" t="inlineStr">
        <is>
          <t>MAT-CB-003</t>
        </is>
      </c>
      <c r="B150" s="116" t="inlineStr">
        <is>
          <t>active</t>
        </is>
      </c>
      <c r="C150" s="116" t="inlineStr">
        <is>
          <t>carpentry_base</t>
        </is>
      </c>
      <c r="D150" s="118" t="inlineStr">
        <is>
          <t>목공사</t>
        </is>
      </c>
      <c r="E150" s="116" t="inlineStr">
        <is>
          <t>기본</t>
        </is>
      </c>
      <c r="F150" s="116" t="inlineStr">
        <is>
          <t>현장시공</t>
        </is>
      </c>
      <c r="G150" s="116" t="inlineStr">
        <is>
          <t>기본세팅</t>
        </is>
      </c>
      <c r="H150" s="129" t="inlineStr">
        <is>
          <t>목공사 발생 시 기본 출장·세팅 (목수팀 1회)</t>
        </is>
      </c>
      <c r="I150" s="116" t="inlineStr">
        <is>
          <t>고급, 주력</t>
        </is>
      </c>
      <c r="J150" s="116" t="inlineStr">
        <is>
          <t>per_set</t>
        </is>
      </c>
      <c r="K150" s="165" t="n">
        <v>0</v>
      </c>
      <c r="L150" s="165" t="n">
        <v>1000000</v>
      </c>
      <c r="M150" s="165">
        <f>K150+L150</f>
        <v/>
      </c>
      <c r="N150" s="116" t="inlineStr">
        <is>
          <t>시장가 추정</t>
        </is>
      </c>
      <c r="O150" s="116" t="inlineStr">
        <is>
          <t>2026-04</t>
        </is>
      </c>
      <c r="P150" s="116" t="inlineStr">
        <is>
          <t>operator</t>
        </is>
      </c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43">
        <f>LEFT(I150,FIND(",",I150&amp;",")-1)</f>
        <v/>
      </c>
      <c r="Z150" s="116">
        <f>C150&amp;"|"&amp;Y150</f>
        <v/>
      </c>
      <c r="AA150" s="116">
        <f>E150&amp;"|"&amp;Y150</f>
        <v/>
      </c>
    </row>
    <row r="151" ht="15" customHeight="1" s="95">
      <c r="A151" s="116" t="inlineStr">
        <is>
          <t>MAT-CC-001</t>
        </is>
      </c>
      <c r="B151" s="116" t="inlineStr">
        <is>
          <t>active</t>
        </is>
      </c>
      <c r="C151" s="116" t="inlineStr">
        <is>
          <t>carpentry_ceiling</t>
        </is>
      </c>
      <c r="D151" s="118" t="inlineStr">
        <is>
          <t>목공사</t>
        </is>
      </c>
      <c r="E151" s="116" t="inlineStr">
        <is>
          <t>천정</t>
        </is>
      </c>
      <c r="F151" s="116" t="inlineStr">
        <is>
          <t>현장시공</t>
        </is>
      </c>
      <c r="G151" s="116" t="inlineStr">
        <is>
          <t>평탄화</t>
        </is>
      </c>
      <c r="H151" s="129" t="inlineStr">
        <is>
          <t>우물천정→평천정 전환 (거실 면적 기준 평당 4만원)</t>
        </is>
      </c>
      <c r="I151" s="116" t="inlineStr">
        <is>
          <t>가성비, 주력</t>
        </is>
      </c>
      <c r="J151" s="116" t="inlineStr">
        <is>
          <t>per_m2</t>
        </is>
      </c>
      <c r="K151" s="165" t="n">
        <v>0</v>
      </c>
      <c r="L151" s="165" t="n">
        <v>12085</v>
      </c>
      <c r="M151" s="165">
        <f>K151+L151</f>
        <v/>
      </c>
      <c r="N151" s="116" t="inlineStr">
        <is>
          <t>시장가 추정</t>
        </is>
      </c>
      <c r="O151" s="116" t="inlineStr">
        <is>
          <t>2026-04</t>
        </is>
      </c>
      <c r="P151" s="116" t="inlineStr">
        <is>
          <t>operator</t>
        </is>
      </c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43">
        <f>LEFT(I151,FIND(",",I151&amp;",")-1)</f>
        <v/>
      </c>
      <c r="Z151" s="116">
        <f>C151&amp;"|"&amp;Y151</f>
        <v/>
      </c>
      <c r="AA151" s="116">
        <f>E151&amp;"|"&amp;Y151</f>
        <v/>
      </c>
    </row>
    <row r="152" ht="15" customHeight="1" s="95">
      <c r="A152" s="116" t="inlineStr">
        <is>
          <t>MAT-CC-002</t>
        </is>
      </c>
      <c r="B152" s="116" t="inlineStr">
        <is>
          <t>active</t>
        </is>
      </c>
      <c r="C152" s="116" t="inlineStr">
        <is>
          <t>carpentry_ceiling</t>
        </is>
      </c>
      <c r="D152" s="118" t="inlineStr">
        <is>
          <t>목공사</t>
        </is>
      </c>
      <c r="E152" s="116" t="inlineStr">
        <is>
          <t>천정</t>
        </is>
      </c>
      <c r="F152" s="116" t="inlineStr">
        <is>
          <t>현장시공</t>
        </is>
      </c>
      <c r="G152" s="116" t="inlineStr">
        <is>
          <t>평탄화</t>
        </is>
      </c>
      <c r="H152" s="129" t="inlineStr">
        <is>
          <t>우물천정→평천정 전환 (거실 면적 기준 평당 4만원)</t>
        </is>
      </c>
      <c r="I152" s="116" t="inlineStr">
        <is>
          <t>표준, 주력</t>
        </is>
      </c>
      <c r="J152" s="116" t="inlineStr">
        <is>
          <t>per_m2</t>
        </is>
      </c>
      <c r="K152" s="165" t="n">
        <v>0</v>
      </c>
      <c r="L152" s="165" t="n">
        <v>12085</v>
      </c>
      <c r="M152" s="165">
        <f>K152+L152</f>
        <v/>
      </c>
      <c r="N152" s="116" t="inlineStr">
        <is>
          <t>시장가 추정</t>
        </is>
      </c>
      <c r="O152" s="116" t="inlineStr">
        <is>
          <t>2026-04</t>
        </is>
      </c>
      <c r="P152" s="116" t="inlineStr">
        <is>
          <t>operator</t>
        </is>
      </c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43">
        <f>LEFT(I152,FIND(",",I152&amp;",")-1)</f>
        <v/>
      </c>
      <c r="Z152" s="116">
        <f>C152&amp;"|"&amp;Y152</f>
        <v/>
      </c>
      <c r="AA152" s="116">
        <f>E152&amp;"|"&amp;Y152</f>
        <v/>
      </c>
    </row>
    <row r="153" ht="15" customHeight="1" s="95">
      <c r="A153" s="116" t="inlineStr">
        <is>
          <t>MAT-CC-003</t>
        </is>
      </c>
      <c r="B153" s="116" t="inlineStr">
        <is>
          <t>active</t>
        </is>
      </c>
      <c r="C153" s="116" t="inlineStr">
        <is>
          <t>carpentry_ceiling</t>
        </is>
      </c>
      <c r="D153" s="118" t="inlineStr">
        <is>
          <t>목공사</t>
        </is>
      </c>
      <c r="E153" s="116" t="inlineStr">
        <is>
          <t>천정</t>
        </is>
      </c>
      <c r="F153" s="116" t="inlineStr">
        <is>
          <t>현장시공</t>
        </is>
      </c>
      <c r="G153" s="116" t="inlineStr">
        <is>
          <t>평탄화</t>
        </is>
      </c>
      <c r="H153" s="129" t="inlineStr">
        <is>
          <t>우물천정→평천정 전환 (거실 면적 기준 평당 4만원)</t>
        </is>
      </c>
      <c r="I153" s="116" t="inlineStr">
        <is>
          <t>고급, 주력</t>
        </is>
      </c>
      <c r="J153" s="116" t="inlineStr">
        <is>
          <t>per_m2</t>
        </is>
      </c>
      <c r="K153" s="165" t="n">
        <v>0</v>
      </c>
      <c r="L153" s="165" t="n">
        <v>12085</v>
      </c>
      <c r="M153" s="165">
        <f>K153+L153</f>
        <v/>
      </c>
      <c r="N153" s="116" t="inlineStr">
        <is>
          <t>시장가 추정</t>
        </is>
      </c>
      <c r="O153" s="116" t="inlineStr">
        <is>
          <t>2026-04</t>
        </is>
      </c>
      <c r="P153" s="116" t="inlineStr">
        <is>
          <t>operator</t>
        </is>
      </c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43">
        <f>LEFT(I153,FIND(",",I153&amp;",")-1)</f>
        <v/>
      </c>
      <c r="Z153" s="116">
        <f>C153&amp;"|"&amp;Y153</f>
        <v/>
      </c>
      <c r="AA153" s="116">
        <f>E153&amp;"|"&amp;Y153</f>
        <v/>
      </c>
    </row>
    <row r="154" ht="15" customHeight="1" s="95">
      <c r="A154" s="116" t="inlineStr">
        <is>
          <t>MAT-CN-001</t>
        </is>
      </c>
      <c r="B154" s="116" t="inlineStr">
        <is>
          <t>active</t>
        </is>
      </c>
      <c r="C154" s="116" t="inlineStr">
        <is>
          <t>carpentry_partition</t>
        </is>
      </c>
      <c r="D154" s="118" t="inlineStr">
        <is>
          <t>목공사</t>
        </is>
      </c>
      <c r="E154" s="116" t="inlineStr">
        <is>
          <t>가벽</t>
        </is>
      </c>
      <c r="F154" s="116" t="inlineStr">
        <is>
          <t>현장시공</t>
        </is>
      </c>
      <c r="G154" s="116" t="inlineStr">
        <is>
          <t>구조변경</t>
        </is>
      </c>
      <c r="H154" s="129" t="inlineStr">
        <is>
          <t>가벽 신설/철거 등 구조 변경 (거실 면적 기준 평당 6만원)</t>
        </is>
      </c>
      <c r="I154" s="116" t="inlineStr">
        <is>
          <t>가성비, 주력</t>
        </is>
      </c>
      <c r="J154" s="116" t="inlineStr">
        <is>
          <t>per_m2</t>
        </is>
      </c>
      <c r="K154" s="165" t="n">
        <v>0</v>
      </c>
      <c r="L154" s="165" t="n">
        <v>18127</v>
      </c>
      <c r="M154" s="165">
        <f>K154+L154</f>
        <v/>
      </c>
      <c r="N154" s="116" t="inlineStr">
        <is>
          <t>시장가 추정</t>
        </is>
      </c>
      <c r="O154" s="116" t="inlineStr">
        <is>
          <t>2026-04</t>
        </is>
      </c>
      <c r="P154" s="116" t="inlineStr">
        <is>
          <t>operator</t>
        </is>
      </c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43">
        <f>LEFT(I154,FIND(",",I154&amp;",")-1)</f>
        <v/>
      </c>
      <c r="Z154" s="116">
        <f>C154&amp;"|"&amp;Y154</f>
        <v/>
      </c>
      <c r="AA154" s="116">
        <f>E154&amp;"|"&amp;Y154</f>
        <v/>
      </c>
    </row>
    <row r="155" ht="15" customHeight="1" s="95">
      <c r="A155" s="116" t="inlineStr">
        <is>
          <t>MAT-CN-002</t>
        </is>
      </c>
      <c r="B155" s="116" t="inlineStr">
        <is>
          <t>active</t>
        </is>
      </c>
      <c r="C155" s="116" t="inlineStr">
        <is>
          <t>carpentry_partition</t>
        </is>
      </c>
      <c r="D155" s="118" t="inlineStr">
        <is>
          <t>목공사</t>
        </is>
      </c>
      <c r="E155" s="116" t="inlineStr">
        <is>
          <t>가벽</t>
        </is>
      </c>
      <c r="F155" s="116" t="inlineStr">
        <is>
          <t>현장시공</t>
        </is>
      </c>
      <c r="G155" s="116" t="inlineStr">
        <is>
          <t>구조변경</t>
        </is>
      </c>
      <c r="H155" s="129" t="inlineStr">
        <is>
          <t>가벽 신설/철거 등 구조 변경 (거실 면적 기준 평당 6만원)</t>
        </is>
      </c>
      <c r="I155" s="116" t="inlineStr">
        <is>
          <t>표준, 주력</t>
        </is>
      </c>
      <c r="J155" s="116" t="inlineStr">
        <is>
          <t>per_m2</t>
        </is>
      </c>
      <c r="K155" s="165" t="n">
        <v>0</v>
      </c>
      <c r="L155" s="165" t="n">
        <v>18127</v>
      </c>
      <c r="M155" s="165">
        <f>K155+L155</f>
        <v/>
      </c>
      <c r="N155" s="116" t="inlineStr">
        <is>
          <t>시장가 추정</t>
        </is>
      </c>
      <c r="O155" s="116" t="inlineStr">
        <is>
          <t>2026-04</t>
        </is>
      </c>
      <c r="P155" s="116" t="inlineStr">
        <is>
          <t>operator</t>
        </is>
      </c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43">
        <f>LEFT(I155,FIND(",",I155&amp;",")-1)</f>
        <v/>
      </c>
      <c r="Z155" s="116">
        <f>C155&amp;"|"&amp;Y155</f>
        <v/>
      </c>
      <c r="AA155" s="116">
        <f>E155&amp;"|"&amp;Y155</f>
        <v/>
      </c>
    </row>
    <row r="156" ht="15" customHeight="1" s="95">
      <c r="A156" s="116" t="inlineStr">
        <is>
          <t>MAT-CN-003</t>
        </is>
      </c>
      <c r="B156" s="116" t="inlineStr">
        <is>
          <t>active</t>
        </is>
      </c>
      <c r="C156" s="116" t="inlineStr">
        <is>
          <t>carpentry_partition</t>
        </is>
      </c>
      <c r="D156" s="118" t="inlineStr">
        <is>
          <t>목공사</t>
        </is>
      </c>
      <c r="E156" s="116" t="inlineStr">
        <is>
          <t>가벽</t>
        </is>
      </c>
      <c r="F156" s="116" t="inlineStr">
        <is>
          <t>현장시공</t>
        </is>
      </c>
      <c r="G156" s="116" t="inlineStr">
        <is>
          <t>구조변경</t>
        </is>
      </c>
      <c r="H156" s="129" t="inlineStr">
        <is>
          <t>가벽 신설/철거 등 구조 변경 (거실 면적 기준 평당 6만원)</t>
        </is>
      </c>
      <c r="I156" s="116" t="inlineStr">
        <is>
          <t>고급, 주력</t>
        </is>
      </c>
      <c r="J156" s="116" t="inlineStr">
        <is>
          <t>per_m2</t>
        </is>
      </c>
      <c r="K156" s="165" t="n">
        <v>0</v>
      </c>
      <c r="L156" s="165" t="n">
        <v>18127</v>
      </c>
      <c r="M156" s="165">
        <f>K156+L156</f>
        <v/>
      </c>
      <c r="N156" s="116" t="inlineStr">
        <is>
          <t>시장가 추정</t>
        </is>
      </c>
      <c r="O156" s="116" t="inlineStr">
        <is>
          <t>2026-04</t>
        </is>
      </c>
      <c r="P156" s="116" t="inlineStr">
        <is>
          <t>operator</t>
        </is>
      </c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43">
        <f>LEFT(I156,FIND(",",I156&amp;",")-1)</f>
        <v/>
      </c>
      <c r="Z156" s="116">
        <f>C156&amp;"|"&amp;Y156</f>
        <v/>
      </c>
      <c r="AA156" s="116">
        <f>E156&amp;"|"&amp;Y156</f>
        <v/>
      </c>
    </row>
    <row r="157" ht="15" customHeight="1" s="95">
      <c r="A157" s="116" t="inlineStr">
        <is>
          <t>MAT-VT-001</t>
        </is>
      </c>
      <c r="B157" s="116" t="inlineStr">
        <is>
          <t>active</t>
        </is>
      </c>
      <c r="C157" s="116" t="inlineStr">
        <is>
          <t>balcony_floor_tile</t>
        </is>
      </c>
      <c r="D157" s="118" t="inlineStr">
        <is>
          <t>타일</t>
        </is>
      </c>
      <c r="E157" s="116" t="inlineStr">
        <is>
          <t>300각</t>
        </is>
      </c>
      <c r="F157" s="116" t="inlineStr">
        <is>
          <t>중국수입</t>
        </is>
      </c>
      <c r="G157" s="116" t="inlineStr">
        <is>
          <t>300각중국</t>
        </is>
      </c>
      <c r="H157" s="129" t="inlineStr">
        <is>
          <t>300×300각 중국산 포세린 (자재만, 시공은 통합 타일팀)</t>
        </is>
      </c>
      <c r="I157" s="116" t="inlineStr">
        <is>
          <t>가성비, 주력</t>
        </is>
      </c>
      <c r="J157" s="116" t="inlineStr">
        <is>
          <t>per_m2</t>
        </is>
      </c>
      <c r="K157" s="165" t="n">
        <v>8000</v>
      </c>
      <c r="L157" s="165" t="n">
        <v>0</v>
      </c>
      <c r="M157" s="165">
        <f>K157+L157</f>
        <v/>
      </c>
      <c r="N157" s="116" t="inlineStr">
        <is>
          <t>시장가 추정</t>
        </is>
      </c>
      <c r="O157" s="116" t="inlineStr">
        <is>
          <t>2026-04</t>
        </is>
      </c>
      <c r="P157" s="116" t="inlineStr">
        <is>
          <t>operator</t>
        </is>
      </c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43">
        <f>LEFT(I157,FIND(",",I157&amp;",")-1)</f>
        <v/>
      </c>
      <c r="Z157" s="116">
        <f>C157&amp;"|"&amp;Y157</f>
        <v/>
      </c>
      <c r="AA157" s="116">
        <f>E157&amp;"|"&amp;Y157</f>
        <v/>
      </c>
    </row>
    <row r="158" ht="15" customHeight="1" s="95">
      <c r="A158" s="116" t="inlineStr">
        <is>
          <t>MAT-VT-002</t>
        </is>
      </c>
      <c r="B158" s="116" t="inlineStr">
        <is>
          <t>active</t>
        </is>
      </c>
      <c r="C158" s="116" t="inlineStr">
        <is>
          <t>balcony_floor_tile</t>
        </is>
      </c>
      <c r="D158" s="118" t="inlineStr">
        <is>
          <t>타일</t>
        </is>
      </c>
      <c r="E158" s="116" t="inlineStr">
        <is>
          <t>600각</t>
        </is>
      </c>
      <c r="F158" s="116" t="inlineStr">
        <is>
          <t>중국수입</t>
        </is>
      </c>
      <c r="G158" s="116" t="inlineStr">
        <is>
          <t>600각중국</t>
        </is>
      </c>
      <c r="H158" s="129" t="inlineStr">
        <is>
          <t>600×600각 중국산 포세린 (자재만, 시공은 통합 타일팀)</t>
        </is>
      </c>
      <c r="I158" s="116" t="inlineStr">
        <is>
          <t>표준, 주력</t>
        </is>
      </c>
      <c r="J158" s="116" t="inlineStr">
        <is>
          <t>per_m2</t>
        </is>
      </c>
      <c r="K158" s="165" t="n">
        <v>15000</v>
      </c>
      <c r="L158" s="165" t="n">
        <v>0</v>
      </c>
      <c r="M158" s="165">
        <f>K158+L158</f>
        <v/>
      </c>
      <c r="N158" s="116" t="inlineStr">
        <is>
          <t>시장가 추정</t>
        </is>
      </c>
      <c r="O158" s="116" t="inlineStr">
        <is>
          <t>2026-04</t>
        </is>
      </c>
      <c r="P158" s="116" t="inlineStr">
        <is>
          <t>operator</t>
        </is>
      </c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43">
        <f>LEFT(I158,FIND(",",I158&amp;",")-1)</f>
        <v/>
      </c>
      <c r="Z158" s="116">
        <f>C158&amp;"|"&amp;Y158</f>
        <v/>
      </c>
      <c r="AA158" s="116">
        <f>E158&amp;"|"&amp;Y158</f>
        <v/>
      </c>
    </row>
    <row r="159" ht="15" customHeight="1" s="95">
      <c r="A159" s="116" t="inlineStr">
        <is>
          <t>MAT-VT-003</t>
        </is>
      </c>
      <c r="B159" s="116" t="inlineStr">
        <is>
          <t>active</t>
        </is>
      </c>
      <c r="C159" s="116" t="inlineStr">
        <is>
          <t>balcony_floor_tile</t>
        </is>
      </c>
      <c r="D159" s="118" t="inlineStr">
        <is>
          <t>타일</t>
        </is>
      </c>
      <c r="E159" s="116" t="inlineStr">
        <is>
          <t>600각</t>
        </is>
      </c>
      <c r="F159" s="116" t="inlineStr">
        <is>
          <t>이태리수입</t>
        </is>
      </c>
      <c r="G159" s="116" t="inlineStr">
        <is>
          <t>600각이태리</t>
        </is>
      </c>
      <c r="H159" s="129" t="inlineStr">
        <is>
          <t>600×600각 이태리 수입 포세린 (자재만, 시공은 통합 타일팀)</t>
        </is>
      </c>
      <c r="I159" s="116" t="inlineStr">
        <is>
          <t>고급, 주력</t>
        </is>
      </c>
      <c r="J159" s="116" t="inlineStr">
        <is>
          <t>per_m2</t>
        </is>
      </c>
      <c r="K159" s="165" t="n">
        <v>35000</v>
      </c>
      <c r="L159" s="165" t="n">
        <v>0</v>
      </c>
      <c r="M159" s="165">
        <f>K159+L159</f>
        <v/>
      </c>
      <c r="N159" s="116" t="inlineStr">
        <is>
          <t>시장가 추정</t>
        </is>
      </c>
      <c r="O159" s="116" t="inlineStr">
        <is>
          <t>2026-04</t>
        </is>
      </c>
      <c r="P159" s="116" t="inlineStr">
        <is>
          <t>operator</t>
        </is>
      </c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43">
        <f>LEFT(I159,FIND(",",I159&amp;",")-1)</f>
        <v/>
      </c>
      <c r="Z159" s="116">
        <f>C159&amp;"|"&amp;Y159</f>
        <v/>
      </c>
      <c r="AA159" s="116">
        <f>E159&amp;"|"&amp;Y159</f>
        <v/>
      </c>
    </row>
    <row r="160" ht="15" customHeight="1" s="95">
      <c r="A160" s="116" t="inlineStr">
        <is>
          <t>MAT-VP-001</t>
        </is>
      </c>
      <c r="B160" s="116" t="inlineStr">
        <is>
          <t>active</t>
        </is>
      </c>
      <c r="C160" s="116" t="inlineStr">
        <is>
          <t>balcony_paint</t>
        </is>
      </c>
      <c r="D160" s="118" t="inlineStr">
        <is>
          <t>도장</t>
        </is>
      </c>
      <c r="E160" s="116" t="inlineStr">
        <is>
          <t>수성일반</t>
        </is>
      </c>
      <c r="F160" s="116" t="inlineStr">
        <is>
          <t>삼화</t>
        </is>
      </c>
      <c r="G160" s="116" t="inlineStr">
        <is>
          <t>수성일반</t>
        </is>
      </c>
      <c r="H160" s="129" t="inlineStr">
        <is>
          <t>삼화·KCC급 수성 페인트 일반 (자재+인건비, ㎡당)</t>
        </is>
      </c>
      <c r="I160" s="116" t="inlineStr">
        <is>
          <t>가성비, 주력</t>
        </is>
      </c>
      <c r="J160" s="116" t="inlineStr">
        <is>
          <t>per_m2</t>
        </is>
      </c>
      <c r="K160" s="165" t="n">
        <v>8000</v>
      </c>
      <c r="L160" s="165" t="n">
        <v>9000</v>
      </c>
      <c r="M160" s="165">
        <f>K160+L160</f>
        <v/>
      </c>
      <c r="N160" s="116" t="inlineStr">
        <is>
          <t>시장가 추정</t>
        </is>
      </c>
      <c r="O160" s="116" t="inlineStr">
        <is>
          <t>2026-04</t>
        </is>
      </c>
      <c r="P160" s="116" t="inlineStr">
        <is>
          <t>operator</t>
        </is>
      </c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43">
        <f>LEFT(I160,FIND(",",I160&amp;",")-1)</f>
        <v/>
      </c>
      <c r="Z160" s="116">
        <f>C160&amp;"|"&amp;Y160</f>
        <v/>
      </c>
      <c r="AA160" s="116">
        <f>E160&amp;"|"&amp;Y160</f>
        <v/>
      </c>
    </row>
    <row r="161" ht="15" customHeight="1" s="95">
      <c r="A161" s="116" t="inlineStr">
        <is>
          <t>MAT-VP-002</t>
        </is>
      </c>
      <c r="B161" s="116" t="inlineStr">
        <is>
          <t>active</t>
        </is>
      </c>
      <c r="C161" s="116" t="inlineStr">
        <is>
          <t>balcony_paint</t>
        </is>
      </c>
      <c r="D161" s="118" t="inlineStr">
        <is>
          <t>도장</t>
        </is>
      </c>
      <c r="E161" s="116" t="inlineStr">
        <is>
          <t>친환경수성</t>
        </is>
      </c>
      <c r="F161" s="116" t="inlineStr">
        <is>
          <t>노루</t>
        </is>
      </c>
      <c r="G161" s="116" t="inlineStr">
        <is>
          <t>친환경수성</t>
        </is>
      </c>
      <c r="H161" s="129" t="inlineStr">
        <is>
          <t>노루·디아이디급 친환경 수성 페인트 (자재+인건비, ㎡당)</t>
        </is>
      </c>
      <c r="I161" s="116" t="inlineStr">
        <is>
          <t>표준, 주력</t>
        </is>
      </c>
      <c r="J161" s="116" t="inlineStr">
        <is>
          <t>per_m2</t>
        </is>
      </c>
      <c r="K161" s="165" t="n">
        <v>25000</v>
      </c>
      <c r="L161" s="165" t="n">
        <v>16000</v>
      </c>
      <c r="M161" s="165">
        <f>K161+L161</f>
        <v/>
      </c>
      <c r="N161" s="116" t="inlineStr">
        <is>
          <t>시장가 추정</t>
        </is>
      </c>
      <c r="O161" s="116" t="inlineStr">
        <is>
          <t>2026-04</t>
        </is>
      </c>
      <c r="P161" s="116" t="inlineStr">
        <is>
          <t>operator</t>
        </is>
      </c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43">
        <f>LEFT(I161,FIND(",",I161&amp;",")-1)</f>
        <v/>
      </c>
      <c r="Z161" s="116">
        <f>C161&amp;"|"&amp;Y161</f>
        <v/>
      </c>
      <c r="AA161" s="116">
        <f>E161&amp;"|"&amp;Y161</f>
        <v/>
      </c>
    </row>
    <row r="162" ht="15" customHeight="1" s="95">
      <c r="A162" s="116" t="inlineStr">
        <is>
          <t>MAT-VP-003</t>
        </is>
      </c>
      <c r="B162" s="116" t="inlineStr">
        <is>
          <t>active</t>
        </is>
      </c>
      <c r="C162" s="116" t="inlineStr">
        <is>
          <t>balcony_paint</t>
        </is>
      </c>
      <c r="D162" s="118" t="inlineStr">
        <is>
          <t>도장</t>
        </is>
      </c>
      <c r="E162" s="116" t="inlineStr">
        <is>
          <t>프리미엄</t>
        </is>
      </c>
      <c r="F162" s="116" t="inlineStr">
        <is>
          <t>벤자민무어</t>
        </is>
      </c>
      <c r="G162" s="116" t="inlineStr">
        <is>
          <t>프리미엄친환경</t>
        </is>
      </c>
      <c r="H162" s="129" t="inlineStr">
        <is>
          <t>벤자민무어·던에드워즈급 프리미엄 친환경 (자재+인건비, ㎡당)</t>
        </is>
      </c>
      <c r="I162" s="116" t="inlineStr">
        <is>
          <t>고급, 주력</t>
        </is>
      </c>
      <c r="J162" s="116" t="inlineStr">
        <is>
          <t>per_m2</t>
        </is>
      </c>
      <c r="K162" s="165" t="n">
        <v>60000</v>
      </c>
      <c r="L162" s="165" t="n">
        <v>28000</v>
      </c>
      <c r="M162" s="165">
        <f>K162+L162</f>
        <v/>
      </c>
      <c r="N162" s="116" t="inlineStr">
        <is>
          <t>시장가 추정</t>
        </is>
      </c>
      <c r="O162" s="116" t="inlineStr">
        <is>
          <t>2026-04</t>
        </is>
      </c>
      <c r="P162" s="116" t="inlineStr">
        <is>
          <t>operator</t>
        </is>
      </c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43">
        <f>LEFT(I162,FIND(",",I162&amp;",")-1)</f>
        <v/>
      </c>
      <c r="Z162" s="116">
        <f>C162&amp;"|"&amp;Y162</f>
        <v/>
      </c>
      <c r="AA162" s="116">
        <f>E162&amp;"|"&amp;Y162</f>
        <v/>
      </c>
    </row>
    <row r="163" ht="15" customHeight="1" s="95">
      <c r="A163" s="116" t="inlineStr">
        <is>
          <t>MAT-ES-001</t>
        </is>
      </c>
      <c r="B163" s="116" t="inlineStr">
        <is>
          <t>active</t>
        </is>
      </c>
      <c r="C163" s="116" t="inlineStr">
        <is>
          <t>electrical_switch</t>
        </is>
      </c>
      <c r="D163" s="118" t="inlineStr">
        <is>
          <t>전기</t>
        </is>
      </c>
      <c r="E163" s="116" t="inlineStr">
        <is>
          <t>국산</t>
        </is>
      </c>
      <c r="F163" s="116" t="inlineStr">
        <is>
          <t>국산</t>
        </is>
      </c>
      <c r="G163" s="116" t="inlineStr">
        <is>
          <t>일반</t>
        </is>
      </c>
      <c r="H163" s="129" t="inlineStr">
        <is>
          <t>국산 일반 매입 스위치+콘센트 평균 (1ea 기준, 자재+인건비)</t>
        </is>
      </c>
      <c r="I163" s="116" t="inlineStr">
        <is>
          <t>가성비, 주력</t>
        </is>
      </c>
      <c r="J163" s="116" t="inlineStr">
        <is>
          <t>per_ea</t>
        </is>
      </c>
      <c r="K163" s="165" t="n">
        <v>4500</v>
      </c>
      <c r="L163" s="165" t="n">
        <v>4500</v>
      </c>
      <c r="M163" s="165">
        <f>K163+L163</f>
        <v/>
      </c>
      <c r="N163" s="116" t="inlineStr">
        <is>
          <t>시장가 추정</t>
        </is>
      </c>
      <c r="O163" s="116" t="inlineStr">
        <is>
          <t>2026-04</t>
        </is>
      </c>
      <c r="P163" s="116" t="inlineStr">
        <is>
          <t>operator</t>
        </is>
      </c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43">
        <f>LEFT(I163,FIND(",",I163&amp;",")-1)</f>
        <v/>
      </c>
      <c r="Z163" s="116">
        <f>C163&amp;"|"&amp;Y163</f>
        <v/>
      </c>
      <c r="AA163" s="116">
        <f>E163&amp;"|"&amp;Y163</f>
        <v/>
      </c>
    </row>
    <row r="164" ht="15" customHeight="1" s="95">
      <c r="A164" s="116" t="inlineStr">
        <is>
          <t>MAT-ES-002</t>
        </is>
      </c>
      <c r="B164" s="116" t="inlineStr">
        <is>
          <t>active</t>
        </is>
      </c>
      <c r="C164" s="116" t="inlineStr">
        <is>
          <t>electrical_switch</t>
        </is>
      </c>
      <c r="D164" s="118" t="inlineStr">
        <is>
          <t>전기</t>
        </is>
      </c>
      <c r="E164" s="116" t="inlineStr">
        <is>
          <t>르그랑</t>
        </is>
      </c>
      <c r="F164" s="116" t="inlineStr">
        <is>
          <t>Legrand</t>
        </is>
      </c>
      <c r="G164" s="116" t="inlineStr">
        <is>
          <t>Mosaic</t>
        </is>
      </c>
      <c r="H164" s="129" t="inlineStr">
        <is>
          <t>Legrand Mosaic급 스위치+콘센트 평균 (1ea 기준, 자재+인건비)</t>
        </is>
      </c>
      <c r="I164" s="116" t="inlineStr">
        <is>
          <t>표준, 주력</t>
        </is>
      </c>
      <c r="J164" s="116" t="inlineStr">
        <is>
          <t>per_ea</t>
        </is>
      </c>
      <c r="K164" s="165" t="n">
        <v>14000</v>
      </c>
      <c r="L164" s="165" t="n">
        <v>9000</v>
      </c>
      <c r="M164" s="165">
        <f>K164+L164</f>
        <v/>
      </c>
      <c r="N164" s="116" t="inlineStr">
        <is>
          <t>시장가 추정</t>
        </is>
      </c>
      <c r="O164" s="116" t="inlineStr">
        <is>
          <t>2026-04</t>
        </is>
      </c>
      <c r="P164" s="116" t="inlineStr">
        <is>
          <t>operator</t>
        </is>
      </c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43">
        <f>LEFT(I164,FIND(",",I164&amp;",")-1)</f>
        <v/>
      </c>
      <c r="Z164" s="116">
        <f>C164&amp;"|"&amp;Y164</f>
        <v/>
      </c>
      <c r="AA164" s="116">
        <f>E164&amp;"|"&amp;Y164</f>
        <v/>
      </c>
    </row>
    <row r="165" ht="15" customHeight="1" s="95">
      <c r="A165" s="116" t="inlineStr">
        <is>
          <t>MAT-ES-003</t>
        </is>
      </c>
      <c r="B165" s="116" t="inlineStr">
        <is>
          <t>active</t>
        </is>
      </c>
      <c r="C165" s="116" t="inlineStr">
        <is>
          <t>electrical_switch</t>
        </is>
      </c>
      <c r="D165" s="118" t="inlineStr">
        <is>
          <t>전기</t>
        </is>
      </c>
      <c r="E165" s="116" t="inlineStr">
        <is>
          <t>JUNG</t>
        </is>
      </c>
      <c r="F165" s="116" t="inlineStr">
        <is>
          <t>JUNG</t>
        </is>
      </c>
      <c r="G165" s="116" t="inlineStr">
        <is>
          <t>LS990</t>
        </is>
      </c>
      <c r="H165" s="129" t="inlineStr">
        <is>
          <t>JUNG LS990·수입 프리미엄 스위치+콘센트 평균 (1ea 기준)</t>
        </is>
      </c>
      <c r="I165" s="116" t="inlineStr">
        <is>
          <t>고급, 주력</t>
        </is>
      </c>
      <c r="J165" s="116" t="inlineStr">
        <is>
          <t>per_ea</t>
        </is>
      </c>
      <c r="K165" s="165" t="n">
        <v>32000</v>
      </c>
      <c r="L165" s="165" t="n">
        <v>12000</v>
      </c>
      <c r="M165" s="165">
        <f>K165+L165</f>
        <v/>
      </c>
      <c r="N165" s="116" t="inlineStr">
        <is>
          <t>시장가 추정</t>
        </is>
      </c>
      <c r="O165" s="116" t="inlineStr">
        <is>
          <t>2026-04</t>
        </is>
      </c>
      <c r="P165" s="116" t="inlineStr">
        <is>
          <t>operator</t>
        </is>
      </c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43">
        <f>LEFT(I165,FIND(",",I165&amp;",")-1)</f>
        <v/>
      </c>
      <c r="Z165" s="116">
        <f>C165&amp;"|"&amp;Y165</f>
        <v/>
      </c>
      <c r="AA165" s="116">
        <f>E165&amp;"|"&amp;Y165</f>
        <v/>
      </c>
    </row>
    <row r="166" ht="15" customHeight="1" s="95">
      <c r="A166" s="116" t="inlineStr">
        <is>
          <t>MAT-IN-001</t>
        </is>
      </c>
      <c r="B166" s="116" t="inlineStr">
        <is>
          <t>active</t>
        </is>
      </c>
      <c r="C166" s="116" t="inlineStr">
        <is>
          <t>induction_line</t>
        </is>
      </c>
      <c r="D166" s="118" t="inlineStr">
        <is>
          <t>전기</t>
        </is>
      </c>
      <c r="E166" s="116" t="inlineStr">
        <is>
          <t>기본</t>
        </is>
      </c>
      <c r="F166" s="116" t="inlineStr">
        <is>
          <t>현장시공</t>
        </is>
      </c>
      <c r="G166" s="116" t="inlineStr">
        <is>
          <t>인덕션전용선</t>
        </is>
      </c>
      <c r="H166" s="129" t="inlineStr">
        <is>
          <t>인덕션 220V 전용선 신설 (분전반→주방, 자재+인건비)</t>
        </is>
      </c>
      <c r="I166" s="116" t="inlineStr">
        <is>
          <t>가성비, 주력</t>
        </is>
      </c>
      <c r="J166" s="116" t="inlineStr">
        <is>
          <t>per_ea</t>
        </is>
      </c>
      <c r="K166" s="165" t="n">
        <v>200000</v>
      </c>
      <c r="L166" s="165" t="n">
        <v>300000</v>
      </c>
      <c r="M166" s="165">
        <f>K166+L166</f>
        <v/>
      </c>
      <c r="N166" s="116" t="inlineStr">
        <is>
          <t>시장가 추정</t>
        </is>
      </c>
      <c r="O166" s="116" t="inlineStr">
        <is>
          <t>2026-04</t>
        </is>
      </c>
      <c r="P166" s="116" t="inlineStr">
        <is>
          <t>operator</t>
        </is>
      </c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43">
        <f>LEFT(I166,FIND(",",I166&amp;",")-1)</f>
        <v/>
      </c>
      <c r="Z166" s="116">
        <f>C166&amp;"|"&amp;Y166</f>
        <v/>
      </c>
      <c r="AA166" s="116">
        <f>E166&amp;"|"&amp;Y166</f>
        <v/>
      </c>
    </row>
    <row r="167" ht="15" customHeight="1" s="95">
      <c r="A167" s="116" t="inlineStr">
        <is>
          <t>MAT-IN-002</t>
        </is>
      </c>
      <c r="B167" s="116" t="inlineStr">
        <is>
          <t>active</t>
        </is>
      </c>
      <c r="C167" s="116" t="inlineStr">
        <is>
          <t>induction_line</t>
        </is>
      </c>
      <c r="D167" s="118" t="inlineStr">
        <is>
          <t>전기</t>
        </is>
      </c>
      <c r="E167" s="116" t="inlineStr">
        <is>
          <t>기본</t>
        </is>
      </c>
      <c r="F167" s="116" t="inlineStr">
        <is>
          <t>현장시공</t>
        </is>
      </c>
      <c r="G167" s="116" t="inlineStr">
        <is>
          <t>인덕션전용선</t>
        </is>
      </c>
      <c r="H167" s="129" t="inlineStr">
        <is>
          <t>인덕션 220V 전용선 신설 (분전반→주방, 자재+인건비)</t>
        </is>
      </c>
      <c r="I167" s="116" t="inlineStr">
        <is>
          <t>표준, 주력</t>
        </is>
      </c>
      <c r="J167" s="116" t="inlineStr">
        <is>
          <t>per_ea</t>
        </is>
      </c>
      <c r="K167" s="165" t="n">
        <v>200000</v>
      </c>
      <c r="L167" s="165" t="n">
        <v>300000</v>
      </c>
      <c r="M167" s="165">
        <f>K167+L167</f>
        <v/>
      </c>
      <c r="N167" s="116" t="inlineStr">
        <is>
          <t>시장가 추정</t>
        </is>
      </c>
      <c r="O167" s="116" t="inlineStr">
        <is>
          <t>2026-04</t>
        </is>
      </c>
      <c r="P167" s="116" t="inlineStr">
        <is>
          <t>operator</t>
        </is>
      </c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43">
        <f>LEFT(I167,FIND(",",I167&amp;",")-1)</f>
        <v/>
      </c>
      <c r="Z167" s="116">
        <f>C167&amp;"|"&amp;Y167</f>
        <v/>
      </c>
      <c r="AA167" s="116">
        <f>E167&amp;"|"&amp;Y167</f>
        <v/>
      </c>
    </row>
    <row r="168" ht="15" customHeight="1" s="95">
      <c r="A168" s="116" t="inlineStr">
        <is>
          <t>MAT-IN-003</t>
        </is>
      </c>
      <c r="B168" s="116" t="inlineStr">
        <is>
          <t>active</t>
        </is>
      </c>
      <c r="C168" s="116" t="inlineStr">
        <is>
          <t>induction_line</t>
        </is>
      </c>
      <c r="D168" s="118" t="inlineStr">
        <is>
          <t>전기</t>
        </is>
      </c>
      <c r="E168" s="116" t="inlineStr">
        <is>
          <t>기본</t>
        </is>
      </c>
      <c r="F168" s="116" t="inlineStr">
        <is>
          <t>현장시공</t>
        </is>
      </c>
      <c r="G168" s="116" t="inlineStr">
        <is>
          <t>인덕션전용선</t>
        </is>
      </c>
      <c r="H168" s="129" t="inlineStr">
        <is>
          <t>인덕션 220V 전용선 신설 (분전반→주방, 자재+인건비)</t>
        </is>
      </c>
      <c r="I168" s="116" t="inlineStr">
        <is>
          <t>고급, 주력</t>
        </is>
      </c>
      <c r="J168" s="116" t="inlineStr">
        <is>
          <t>per_ea</t>
        </is>
      </c>
      <c r="K168" s="165" t="n">
        <v>200000</v>
      </c>
      <c r="L168" s="165" t="n">
        <v>300000</v>
      </c>
      <c r="M168" s="165">
        <f>K168+L168</f>
        <v/>
      </c>
      <c r="N168" s="116" t="inlineStr">
        <is>
          <t>시장가 추정</t>
        </is>
      </c>
      <c r="O168" s="116" t="inlineStr">
        <is>
          <t>2026-04</t>
        </is>
      </c>
      <c r="P168" s="116" t="inlineStr">
        <is>
          <t>operator</t>
        </is>
      </c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43">
        <f>LEFT(I168,FIND(",",I168&amp;",")-1)</f>
        <v/>
      </c>
      <c r="Z168" s="116">
        <f>C168&amp;"|"&amp;Y168</f>
        <v/>
      </c>
      <c r="AA168" s="116">
        <f>E168&amp;"|"&amp;Y168</f>
        <v/>
      </c>
    </row>
    <row r="169" ht="15" customHeight="1" s="95">
      <c r="A169" s="116" t="inlineStr">
        <is>
          <t>MAT-EX-001</t>
        </is>
      </c>
      <c r="B169" s="116" t="inlineStr">
        <is>
          <t>active</t>
        </is>
      </c>
      <c r="C169" s="116" t="inlineStr">
        <is>
          <t>expansion</t>
        </is>
      </c>
      <c r="D169" s="118" t="inlineStr">
        <is>
          <t>확장</t>
        </is>
      </c>
      <c r="E169" s="116" t="inlineStr">
        <is>
          <t>기본</t>
        </is>
      </c>
      <c r="F169" s="116" t="inlineStr">
        <is>
          <t>현장시공</t>
        </is>
      </c>
      <c r="G169" s="116" t="inlineStr">
        <is>
          <t>기본확장</t>
        </is>
      </c>
      <c r="H169" s="129" t="inlineStr">
        <is>
          <t>확장부 철거+단열재 30T+배관 연장+미장(평탄화) — 샷시는 별도 공종에서 자동 산정 (m²당)</t>
        </is>
      </c>
      <c r="I169" s="116" t="inlineStr">
        <is>
          <t>가성비, 주력</t>
        </is>
      </c>
      <c r="J169" s="116" t="inlineStr">
        <is>
          <t>per_m2</t>
        </is>
      </c>
      <c r="K169" s="165" t="n">
        <v>70000</v>
      </c>
      <c r="L169" s="165" t="n">
        <v>50000</v>
      </c>
      <c r="M169" s="165">
        <f>K169+L169</f>
        <v/>
      </c>
      <c r="N169" s="143" t="inlineStr">
        <is>
          <t>시장 시세 검증 (2026-05) — 샷시 분리 후</t>
        </is>
      </c>
      <c r="O169" s="116" t="inlineStr">
        <is>
          <t>2026-05</t>
        </is>
      </c>
      <c r="P169" s="116" t="inlineStr">
        <is>
          <t>operator</t>
        </is>
      </c>
      <c r="Q169" s="174" t="n"/>
      <c r="R169" s="174" t="n"/>
      <c r="S169" s="174" t="n"/>
      <c r="T169" s="174" t="n"/>
      <c r="U169" s="174" t="n"/>
      <c r="V169" s="174" t="n"/>
      <c r="W169" s="174" t="n"/>
      <c r="X169" s="143" t="inlineStr">
        <is>
          <t>샷시 별도 분리 (정책브리핑 골조마감 ㎡당 10.6만+단열재)</t>
        </is>
      </c>
      <c r="Y169" s="143">
        <f>LEFT(I169,FIND(",",I169&amp;",")-1)</f>
        <v/>
      </c>
      <c r="Z169" s="116">
        <f>C169&amp;"|"&amp;Y169</f>
        <v/>
      </c>
      <c r="AA169" s="116">
        <f>E169&amp;"|"&amp;Y169</f>
        <v/>
      </c>
    </row>
    <row r="170" ht="15" customHeight="1" s="95">
      <c r="A170" s="116" t="inlineStr">
        <is>
          <t>MAT-EX-002</t>
        </is>
      </c>
      <c r="B170" s="116" t="inlineStr">
        <is>
          <t>active</t>
        </is>
      </c>
      <c r="C170" s="116" t="inlineStr">
        <is>
          <t>expansion</t>
        </is>
      </c>
      <c r="D170" s="118" t="inlineStr">
        <is>
          <t>확장</t>
        </is>
      </c>
      <c r="E170" s="116" t="inlineStr">
        <is>
          <t>표준</t>
        </is>
      </c>
      <c r="F170" s="116" t="inlineStr">
        <is>
          <t>현장시공</t>
        </is>
      </c>
      <c r="G170" s="116" t="inlineStr">
        <is>
          <t>표준확장</t>
        </is>
      </c>
      <c r="H170" s="129" t="inlineStr">
        <is>
          <t>확장부 철거+단열 50T+배관 연장+미장 정밀 — 샷시는 별도 공종에서 자동 산정 (m²당)</t>
        </is>
      </c>
      <c r="I170" s="116" t="inlineStr">
        <is>
          <t>표준, 주력</t>
        </is>
      </c>
      <c r="J170" s="116" t="inlineStr">
        <is>
          <t>per_m2</t>
        </is>
      </c>
      <c r="K170" s="165" t="n">
        <v>90000</v>
      </c>
      <c r="L170" s="165" t="n">
        <v>70000</v>
      </c>
      <c r="M170" s="165">
        <f>K170+L170</f>
        <v/>
      </c>
      <c r="N170" s="143" t="inlineStr">
        <is>
          <t>시장 시세 검증 (2026-05) — 샷시 분리 후</t>
        </is>
      </c>
      <c r="O170" s="116" t="inlineStr">
        <is>
          <t>2026-05</t>
        </is>
      </c>
      <c r="P170" s="116" t="inlineStr">
        <is>
          <t>operator</t>
        </is>
      </c>
      <c r="Q170" s="174" t="n"/>
      <c r="R170" s="174" t="n"/>
      <c r="S170" s="174" t="n"/>
      <c r="T170" s="174" t="n"/>
      <c r="U170" s="174" t="n"/>
      <c r="V170" s="174" t="n"/>
      <c r="W170" s="174" t="n"/>
      <c r="X170" s="143" t="inlineStr">
        <is>
          <t>샷시 별도 분리 (정책브리핑 골조마감 ㎡당 10.6만+단열재)</t>
        </is>
      </c>
      <c r="Y170" s="143">
        <f>LEFT(I170,FIND(",",I170&amp;",")-1)</f>
        <v/>
      </c>
      <c r="Z170" s="116">
        <f>C170&amp;"|"&amp;Y170</f>
        <v/>
      </c>
      <c r="AA170" s="116">
        <f>E170&amp;"|"&amp;Y170</f>
        <v/>
      </c>
    </row>
    <row r="171" ht="15" customHeight="1" s="95">
      <c r="A171" s="116" t="inlineStr">
        <is>
          <t>MAT-EX-003</t>
        </is>
      </c>
      <c r="B171" s="116" t="inlineStr">
        <is>
          <t>active</t>
        </is>
      </c>
      <c r="C171" s="116" t="inlineStr">
        <is>
          <t>expansion</t>
        </is>
      </c>
      <c r="D171" s="118" t="inlineStr">
        <is>
          <t>확장</t>
        </is>
      </c>
      <c r="E171" s="116" t="inlineStr">
        <is>
          <t>고급</t>
        </is>
      </c>
      <c r="F171" s="116" t="inlineStr">
        <is>
          <t>현장시공</t>
        </is>
      </c>
      <c r="G171" s="116" t="inlineStr">
        <is>
          <t>고급확장</t>
        </is>
      </c>
      <c r="H171" s="129" t="inlineStr">
        <is>
          <t>확장부 철거+이중 단열(70T+우레탄)+배관 연장+평탄화 정밀 — 샷시 별도 (m²당)</t>
        </is>
      </c>
      <c r="I171" s="116" t="inlineStr">
        <is>
          <t>고급, 주력</t>
        </is>
      </c>
      <c r="J171" s="116" t="inlineStr">
        <is>
          <t>per_m2</t>
        </is>
      </c>
      <c r="K171" s="165" t="n">
        <v>120000</v>
      </c>
      <c r="L171" s="165" t="n">
        <v>100000</v>
      </c>
      <c r="M171" s="165">
        <f>K171+L171</f>
        <v/>
      </c>
      <c r="N171" s="143" t="inlineStr">
        <is>
          <t>시장 시세 검증 (2026-05) — 샷시 분리 후</t>
        </is>
      </c>
      <c r="O171" s="116" t="inlineStr">
        <is>
          <t>2026-05</t>
        </is>
      </c>
      <c r="P171" s="116" t="inlineStr">
        <is>
          <t>operator</t>
        </is>
      </c>
      <c r="Q171" s="174" t="n"/>
      <c r="R171" s="174" t="n"/>
      <c r="S171" s="174" t="n"/>
      <c r="T171" s="174" t="n"/>
      <c r="U171" s="174" t="n"/>
      <c r="V171" s="174" t="n"/>
      <c r="W171" s="174" t="n"/>
      <c r="X171" s="143" t="inlineStr">
        <is>
          <t>샷시 별도 분리 (정책브리핑 골조마감 ㎡당 10.6만+단열재)</t>
        </is>
      </c>
      <c r="Y171" s="143">
        <f>LEFT(I171,FIND(",",I171&amp;",")-1)</f>
        <v/>
      </c>
      <c r="Z171" s="116">
        <f>C171&amp;"|"&amp;Y171</f>
        <v/>
      </c>
      <c r="AA171" s="116">
        <f>E171&amp;"|"&amp;Y171</f>
        <v/>
      </c>
    </row>
    <row r="172" ht="15" customHeight="1" s="95">
      <c r="A172" s="116" t="inlineStr">
        <is>
          <t>MAT-DM-001</t>
        </is>
      </c>
      <c r="B172" s="116" t="inlineStr">
        <is>
          <t>active</t>
        </is>
      </c>
      <c r="C172" s="116" t="inlineStr">
        <is>
          <t>base_work</t>
        </is>
      </c>
      <c r="D172" s="118" t="inlineStr">
        <is>
          <t>철거</t>
        </is>
      </c>
      <c r="E172" s="116" t="inlineStr">
        <is>
          <t>철거</t>
        </is>
      </c>
      <c r="F172" s="116" t="inlineStr">
        <is>
          <t>현장시공</t>
        </is>
      </c>
      <c r="G172" s="116" t="inlineStr">
        <is>
          <t>철거</t>
        </is>
      </c>
      <c r="H172" s="118" t="inlineStr">
        <is>
          <t>철거 표준 시공</t>
        </is>
      </c>
      <c r="I172" s="116" t="inlineStr">
        <is>
          <t>가성비, 주력</t>
        </is>
      </c>
      <c r="J172" s="116" t="inlineStr">
        <is>
          <t>per_m2</t>
        </is>
      </c>
      <c r="K172" s="165" t="n">
        <v>6500</v>
      </c>
      <c r="L172" s="165" t="n">
        <v>0</v>
      </c>
      <c r="M172" s="165">
        <f>K172+L172</f>
        <v/>
      </c>
      <c r="N172" s="116" t="inlineStr">
        <is>
          <t>시장가 추정</t>
        </is>
      </c>
      <c r="O172" s="116" t="inlineStr">
        <is>
          <t>2026-04</t>
        </is>
      </c>
      <c r="P172" s="116" t="inlineStr">
        <is>
          <t>운영자</t>
        </is>
      </c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43">
        <f>LEFT(I172,FIND(",",I172&amp;",")-1)</f>
        <v/>
      </c>
      <c r="Z172" s="116">
        <f>C172&amp;"|"&amp;Y172</f>
        <v/>
      </c>
      <c r="AA172" s="116">
        <f>E172&amp;"|"&amp;Y172</f>
        <v/>
      </c>
    </row>
    <row r="173" ht="15" customHeight="1" s="95">
      <c r="A173" s="116" t="inlineStr">
        <is>
          <t>MAT-DM-002</t>
        </is>
      </c>
      <c r="B173" s="116" t="inlineStr">
        <is>
          <t>active</t>
        </is>
      </c>
      <c r="C173" s="116" t="inlineStr">
        <is>
          <t>base_work</t>
        </is>
      </c>
      <c r="D173" s="118" t="inlineStr">
        <is>
          <t>철거</t>
        </is>
      </c>
      <c r="E173" s="116" t="inlineStr">
        <is>
          <t>철거</t>
        </is>
      </c>
      <c r="F173" s="116" t="inlineStr">
        <is>
          <t>현장시공</t>
        </is>
      </c>
      <c r="G173" s="116" t="inlineStr">
        <is>
          <t>철거</t>
        </is>
      </c>
      <c r="H173" s="118" t="inlineStr">
        <is>
          <t>철거 표준 시공+분리</t>
        </is>
      </c>
      <c r="I173" s="116" t="inlineStr">
        <is>
          <t>표준, 주력</t>
        </is>
      </c>
      <c r="J173" s="116" t="inlineStr">
        <is>
          <t>per_m2</t>
        </is>
      </c>
      <c r="K173" s="165" t="n">
        <v>8000</v>
      </c>
      <c r="L173" s="165" t="n">
        <v>0</v>
      </c>
      <c r="M173" s="165">
        <f>K173+L173</f>
        <v/>
      </c>
      <c r="N173" s="116" t="inlineStr">
        <is>
          <t>시장가 추정</t>
        </is>
      </c>
      <c r="O173" s="116" t="inlineStr">
        <is>
          <t>2026-04</t>
        </is>
      </c>
      <c r="P173" s="116" t="inlineStr">
        <is>
          <t>운영자</t>
        </is>
      </c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43">
        <f>LEFT(I173,FIND(",",I173&amp;",")-1)</f>
        <v/>
      </c>
      <c r="Z173" s="116">
        <f>C173&amp;"|"&amp;Y173</f>
        <v/>
      </c>
      <c r="AA173" s="116">
        <f>E173&amp;"|"&amp;Y173</f>
        <v/>
      </c>
    </row>
    <row r="174" ht="15" customHeight="1" s="95">
      <c r="A174" s="116" t="inlineStr">
        <is>
          <t>MAT-DM-003</t>
        </is>
      </c>
      <c r="B174" s="116" t="inlineStr">
        <is>
          <t>active</t>
        </is>
      </c>
      <c r="C174" s="116" t="inlineStr">
        <is>
          <t>base_work</t>
        </is>
      </c>
      <c r="D174" s="118" t="inlineStr">
        <is>
          <t>철거</t>
        </is>
      </c>
      <c r="E174" s="116" t="inlineStr">
        <is>
          <t>철거</t>
        </is>
      </c>
      <c r="F174" s="116" t="inlineStr">
        <is>
          <t>현장시공</t>
        </is>
      </c>
      <c r="G174" s="116" t="inlineStr">
        <is>
          <t>철거</t>
        </is>
      </c>
      <c r="H174" s="118" t="inlineStr">
        <is>
          <t>철거 정밀 분리수거</t>
        </is>
      </c>
      <c r="I174" s="116" t="inlineStr">
        <is>
          <t>고급, 주력</t>
        </is>
      </c>
      <c r="J174" s="116" t="inlineStr">
        <is>
          <t>per_m2</t>
        </is>
      </c>
      <c r="K174" s="165" t="n">
        <v>10000</v>
      </c>
      <c r="L174" s="165" t="n">
        <v>0</v>
      </c>
      <c r="M174" s="165">
        <f>K174+L174</f>
        <v/>
      </c>
      <c r="N174" s="116" t="inlineStr">
        <is>
          <t>시장가 추정</t>
        </is>
      </c>
      <c r="O174" s="116" t="inlineStr">
        <is>
          <t>2026-04</t>
        </is>
      </c>
      <c r="P174" s="116" t="inlineStr">
        <is>
          <t>운영자</t>
        </is>
      </c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43">
        <f>LEFT(I174,FIND(",",I174&amp;",")-1)</f>
        <v/>
      </c>
      <c r="Z174" s="116">
        <f>C174&amp;"|"&amp;Y174</f>
        <v/>
      </c>
      <c r="AA174" s="116">
        <f>E174&amp;"|"&amp;Y174</f>
        <v/>
      </c>
    </row>
    <row r="175" ht="15" customHeight="1" s="95">
      <c r="A175" s="116" t="inlineStr">
        <is>
          <t>MAT-IS-001</t>
        </is>
      </c>
      <c r="B175" s="116" t="inlineStr">
        <is>
          <t>active</t>
        </is>
      </c>
      <c r="C175" s="116" t="inlineStr">
        <is>
          <t>insulation</t>
        </is>
      </c>
      <c r="D175" s="118" t="inlineStr">
        <is>
          <t>단열</t>
        </is>
      </c>
      <c r="E175" s="116" t="inlineStr">
        <is>
          <t>30T 글라스울</t>
        </is>
      </c>
      <c r="F175" s="116" t="inlineStr">
        <is>
          <t>현장시공</t>
        </is>
      </c>
      <c r="G175" s="116" t="inlineStr">
        <is>
          <t>단열</t>
        </is>
      </c>
      <c r="H175" s="118" t="inlineStr">
        <is>
          <t>30T 단열재 기본</t>
        </is>
      </c>
      <c r="I175" s="116" t="inlineStr">
        <is>
          <t>가성비, 주력</t>
        </is>
      </c>
      <c r="J175" s="116" t="inlineStr">
        <is>
          <t>per_m2</t>
        </is>
      </c>
      <c r="K175" s="165" t="n">
        <v>9000</v>
      </c>
      <c r="L175" s="165" t="n">
        <v>6000</v>
      </c>
      <c r="M175" s="165">
        <f>K175+L175</f>
        <v/>
      </c>
      <c r="N175" s="116" t="inlineStr">
        <is>
          <t>시장가 추정</t>
        </is>
      </c>
      <c r="O175" s="116" t="inlineStr">
        <is>
          <t>2026-04</t>
        </is>
      </c>
      <c r="P175" s="116" t="inlineStr">
        <is>
          <t>운영자</t>
        </is>
      </c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43">
        <f>LEFT(I175,FIND(",",I175&amp;",")-1)</f>
        <v/>
      </c>
      <c r="Z175" s="116">
        <f>C175&amp;"|"&amp;Y175</f>
        <v/>
      </c>
      <c r="AA175" s="116">
        <f>E175&amp;"|"&amp;Y175</f>
        <v/>
      </c>
    </row>
    <row r="176" ht="15" customHeight="1" s="95">
      <c r="A176" s="116" t="inlineStr">
        <is>
          <t>MAT-IS-002</t>
        </is>
      </c>
      <c r="B176" s="116" t="inlineStr">
        <is>
          <t>active</t>
        </is>
      </c>
      <c r="C176" s="116" t="inlineStr">
        <is>
          <t>insulation</t>
        </is>
      </c>
      <c r="D176" s="118" t="inlineStr">
        <is>
          <t>단열</t>
        </is>
      </c>
      <c r="E176" s="116" t="inlineStr">
        <is>
          <t>50T 발포단열</t>
        </is>
      </c>
      <c r="F176" s="116" t="inlineStr">
        <is>
          <t>현장시공</t>
        </is>
      </c>
      <c r="G176" s="116" t="inlineStr">
        <is>
          <t>단열</t>
        </is>
      </c>
      <c r="H176" s="118" t="inlineStr">
        <is>
          <t>50T 발포 단열재 표준 시공</t>
        </is>
      </c>
      <c r="I176" s="116" t="inlineStr">
        <is>
          <t>표준, 주력</t>
        </is>
      </c>
      <c r="J176" s="116" t="inlineStr">
        <is>
          <t>per_m2</t>
        </is>
      </c>
      <c r="K176" s="165" t="n">
        <v>20000</v>
      </c>
      <c r="L176" s="165" t="n">
        <v>10000</v>
      </c>
      <c r="M176" s="165">
        <f>K176+L176</f>
        <v/>
      </c>
      <c r="N176" s="116" t="inlineStr">
        <is>
          <t>시장가 추정</t>
        </is>
      </c>
      <c r="O176" s="116" t="inlineStr">
        <is>
          <t>2026-04</t>
        </is>
      </c>
      <c r="P176" s="116" t="inlineStr">
        <is>
          <t>운영자</t>
        </is>
      </c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43">
        <f>LEFT(I176,FIND(",",I176&amp;",")-1)</f>
        <v/>
      </c>
      <c r="Z176" s="116">
        <f>C176&amp;"|"&amp;Y176</f>
        <v/>
      </c>
      <c r="AA176" s="116">
        <f>E176&amp;"|"&amp;Y176</f>
        <v/>
      </c>
    </row>
    <row r="177" ht="15" customHeight="1" s="95">
      <c r="A177" s="116" t="inlineStr">
        <is>
          <t>MAT-IS-003</t>
        </is>
      </c>
      <c r="B177" s="116" t="inlineStr">
        <is>
          <t>active</t>
        </is>
      </c>
      <c r="C177" s="116" t="inlineStr">
        <is>
          <t>insulation</t>
        </is>
      </c>
      <c r="D177" s="118" t="inlineStr">
        <is>
          <t>단열</t>
        </is>
      </c>
      <c r="E177" s="116" t="inlineStr">
        <is>
          <t>70T 경질우레탄</t>
        </is>
      </c>
      <c r="F177" s="116" t="inlineStr">
        <is>
          <t>현장시공</t>
        </is>
      </c>
      <c r="G177" s="116" t="inlineStr">
        <is>
          <t>단열</t>
        </is>
      </c>
      <c r="H177" s="118" t="inlineStr">
        <is>
          <t>경질우레탄 70T</t>
        </is>
      </c>
      <c r="I177" s="116" t="inlineStr">
        <is>
          <t>고급, 주력</t>
        </is>
      </c>
      <c r="J177" s="116" t="inlineStr">
        <is>
          <t>per_m2</t>
        </is>
      </c>
      <c r="K177" s="165" t="n">
        <v>22000</v>
      </c>
      <c r="L177" s="165" t="n">
        <v>11000</v>
      </c>
      <c r="M177" s="165">
        <f>K177+L177</f>
        <v/>
      </c>
      <c r="N177" s="116" t="inlineStr">
        <is>
          <t>시장가 추정</t>
        </is>
      </c>
      <c r="O177" s="116" t="inlineStr">
        <is>
          <t>2026-04</t>
        </is>
      </c>
      <c r="P177" s="116" t="inlineStr">
        <is>
          <t>운영자</t>
        </is>
      </c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43">
        <f>LEFT(I177,FIND(",",I177&amp;",")-1)</f>
        <v/>
      </c>
      <c r="Z177" s="116">
        <f>C177&amp;"|"&amp;Y177</f>
        <v/>
      </c>
      <c r="AA177" s="116">
        <f>E177&amp;"|"&amp;Y177</f>
        <v/>
      </c>
    </row>
    <row r="178" ht="15" customHeight="1" s="95">
      <c r="A178" s="118" t="inlineStr">
        <is>
          <t>MAT-EP-001</t>
        </is>
      </c>
      <c r="B178" s="118" t="inlineStr">
        <is>
          <t>active</t>
        </is>
      </c>
      <c r="C178" s="118" t="inlineStr">
        <is>
          <t>기타</t>
        </is>
      </c>
      <c r="D178" s="118" t="inlineStr">
        <is>
          <t>확장</t>
        </is>
      </c>
      <c r="E178" s="118" t="inlineStr">
        <is>
          <t>구청 확장공사 신고</t>
        </is>
      </c>
      <c r="F178" s="118" t="inlineStr">
        <is>
          <t>현장시공</t>
        </is>
      </c>
      <c r="G178" s="118" t="inlineStr">
        <is>
          <t>신고대행</t>
        </is>
      </c>
      <c r="H178" s="129" t="inlineStr">
        <is>
          <t>도면 작성 + 구청 발코니 확장 신고 대행 (일식)</t>
        </is>
      </c>
      <c r="I178" s="118" t="inlineStr">
        <is>
          <t>가성비, 주력</t>
        </is>
      </c>
      <c r="J178" s="118" t="inlineStr">
        <is>
          <t>per_set</t>
        </is>
      </c>
      <c r="K178" s="118" t="n">
        <v>0</v>
      </c>
      <c r="L178" s="118" t="n">
        <v>1000000</v>
      </c>
      <c r="M178" s="118">
        <f>K178+L178</f>
        <v/>
      </c>
      <c r="N178" s="129" t="inlineStr">
        <is>
          <t>시장 시세 (2026-05) — 신고대행 표준</t>
        </is>
      </c>
      <c r="O178" s="118" t="inlineStr">
        <is>
          <t>2026-05</t>
        </is>
      </c>
      <c r="P178" s="118" t="inlineStr">
        <is>
          <t>operator</t>
        </is>
      </c>
      <c r="X178" s="129" t="inlineStr">
        <is>
          <t>구청 확장공사 신고: 도면 작성 + 신고대행 일식 (시장 시세 80~120만)</t>
        </is>
      </c>
      <c r="Y178" s="129">
        <f>LEFT(I178,FIND(",",I178&amp;",")-1)</f>
        <v/>
      </c>
      <c r="Z178" s="118">
        <f>C178&amp;"|"&amp;Y178</f>
        <v/>
      </c>
      <c r="AA178" s="118">
        <f>E178&amp;"|"&amp;Y178</f>
        <v/>
      </c>
    </row>
    <row r="179" ht="15" customHeight="1" s="95">
      <c r="A179" s="118" t="inlineStr">
        <is>
          <t>MAT-EP-002</t>
        </is>
      </c>
      <c r="B179" s="118" t="inlineStr">
        <is>
          <t>active</t>
        </is>
      </c>
      <c r="C179" s="118" t="inlineStr">
        <is>
          <t>기타</t>
        </is>
      </c>
      <c r="D179" s="118" t="inlineStr">
        <is>
          <t>확장</t>
        </is>
      </c>
      <c r="E179" s="118" t="inlineStr">
        <is>
          <t>구청 확장공사 신고</t>
        </is>
      </c>
      <c r="F179" s="118" t="inlineStr">
        <is>
          <t>현장시공</t>
        </is>
      </c>
      <c r="G179" s="118" t="inlineStr">
        <is>
          <t>신고대행</t>
        </is>
      </c>
      <c r="H179" s="129" t="inlineStr">
        <is>
          <t>도면 작성 + 구청 발코니 확장 신고 대행 (일식)</t>
        </is>
      </c>
      <c r="I179" s="118" t="inlineStr">
        <is>
          <t>표준, 주력</t>
        </is>
      </c>
      <c r="J179" s="118" t="inlineStr">
        <is>
          <t>per_set</t>
        </is>
      </c>
      <c r="K179" s="118" t="n">
        <v>0</v>
      </c>
      <c r="L179" s="118" t="n">
        <v>1000000</v>
      </c>
      <c r="M179" s="118">
        <f>K179+L179</f>
        <v/>
      </c>
      <c r="N179" s="129" t="inlineStr">
        <is>
          <t>시장 시세 (2026-05) — 신고대행 표준</t>
        </is>
      </c>
      <c r="O179" s="118" t="inlineStr">
        <is>
          <t>2026-05</t>
        </is>
      </c>
      <c r="P179" s="118" t="inlineStr">
        <is>
          <t>operator</t>
        </is>
      </c>
      <c r="X179" s="129" t="inlineStr">
        <is>
          <t>구청 확장공사 신고: 도면 작성 + 신고대행 일식 (시장 시세 80~120만)</t>
        </is>
      </c>
      <c r="Y179" s="129">
        <f>LEFT(I179,FIND(",",I179&amp;",")-1)</f>
        <v/>
      </c>
      <c r="Z179" s="118">
        <f>C179&amp;"|"&amp;Y179</f>
        <v/>
      </c>
      <c r="AA179" s="118">
        <f>E179&amp;"|"&amp;Y179</f>
        <v/>
      </c>
    </row>
    <row r="180" ht="15" customHeight="1" s="95">
      <c r="A180" s="118" t="inlineStr">
        <is>
          <t>MAT-EP-003</t>
        </is>
      </c>
      <c r="B180" s="118" t="inlineStr">
        <is>
          <t>active</t>
        </is>
      </c>
      <c r="C180" s="118" t="inlineStr">
        <is>
          <t>기타</t>
        </is>
      </c>
      <c r="D180" s="118" t="inlineStr">
        <is>
          <t>확장</t>
        </is>
      </c>
      <c r="E180" s="118" t="inlineStr">
        <is>
          <t>구청 확장공사 신고</t>
        </is>
      </c>
      <c r="F180" s="118" t="inlineStr">
        <is>
          <t>현장시공</t>
        </is>
      </c>
      <c r="G180" s="118" t="inlineStr">
        <is>
          <t>신고대행</t>
        </is>
      </c>
      <c r="H180" s="129" t="inlineStr">
        <is>
          <t>도면 작성 + 구청 발코니 확장 신고 대행 (일식)</t>
        </is>
      </c>
      <c r="I180" s="118" t="inlineStr">
        <is>
          <t>고급, 주력</t>
        </is>
      </c>
      <c r="J180" s="118" t="inlineStr">
        <is>
          <t>per_set</t>
        </is>
      </c>
      <c r="K180" s="118" t="n">
        <v>0</v>
      </c>
      <c r="L180" s="118" t="n">
        <v>1000000</v>
      </c>
      <c r="M180" s="118">
        <f>K180+L180</f>
        <v/>
      </c>
      <c r="N180" s="129" t="inlineStr">
        <is>
          <t>시장 시세 (2026-05) — 신고대행 표준</t>
        </is>
      </c>
      <c r="O180" s="118" t="inlineStr">
        <is>
          <t>2026-05</t>
        </is>
      </c>
      <c r="P180" s="118" t="inlineStr">
        <is>
          <t>operator</t>
        </is>
      </c>
      <c r="X180" s="129" t="inlineStr">
        <is>
          <t>구청 확장공사 신고: 도면 작성 + 신고대행 일식 (시장 시세 80~120만)</t>
        </is>
      </c>
      <c r="Y180" s="129">
        <f>LEFT(I180,FIND(",",I180&amp;",")-1)</f>
        <v/>
      </c>
      <c r="Z180" s="118">
        <f>C180&amp;"|"&amp;Y180</f>
        <v/>
      </c>
      <c r="AA180" s="118">
        <f>E180&amp;"|"&amp;Y180</f>
        <v/>
      </c>
    </row>
    <row r="181" ht="15" customHeight="1" s="95">
      <c r="A181" s="118" t="inlineStr">
        <is>
          <t>MAT-EB-001</t>
        </is>
      </c>
      <c r="B181" s="118" t="inlineStr">
        <is>
          <t>active</t>
        </is>
      </c>
      <c r="C181" s="118" t="inlineStr">
        <is>
          <t>electrical_base</t>
        </is>
      </c>
      <c r="D181" s="118" t="inlineStr">
        <is>
          <t>전기</t>
        </is>
      </c>
      <c r="E181" s="118" t="inlineStr">
        <is>
          <t>기본공사</t>
        </is>
      </c>
      <c r="F181" s="118" t="inlineStr">
        <is>
          <t>현장시공</t>
        </is>
      </c>
      <c r="G181" s="118" t="inlineStr">
        <is>
          <t>전기기본</t>
        </is>
      </c>
      <c r="H181" s="129" t="inlineStr">
        <is>
          <t>전기 분전반 점검+기존 회로 정비+안전기본 (공급면적 ㎡당)</t>
        </is>
      </c>
      <c r="I181" s="118" t="inlineStr">
        <is>
          <t>가성비, 주력</t>
        </is>
      </c>
      <c r="J181" s="118" t="inlineStr">
        <is>
          <t>per_m2</t>
        </is>
      </c>
      <c r="K181" s="118" t="n">
        <v>3000</v>
      </c>
      <c r="L181" s="118" t="n">
        <v>3042</v>
      </c>
      <c r="M181" s="118">
        <f>K181+L181</f>
        <v/>
      </c>
      <c r="N181" s="118" t="inlineStr">
        <is>
          <t>시장 시세 (2026-05)</t>
        </is>
      </c>
      <c r="O181" s="118" t="inlineStr">
        <is>
          <t>2026-05</t>
        </is>
      </c>
      <c r="P181" s="118" t="inlineStr">
        <is>
          <t>operator</t>
        </is>
      </c>
      <c r="X181" s="118" t="inlineStr">
        <is>
          <t>공급평당 2만원 = ㎡당 6,042원</t>
        </is>
      </c>
      <c r="Y181" s="129">
        <f>LEFT(I181,FIND(",",I181&amp;",")-1)</f>
        <v/>
      </c>
      <c r="Z181" s="118">
        <f>C181&amp;"|"&amp;Y181</f>
        <v/>
      </c>
      <c r="AA181" s="118">
        <f>E181&amp;"|"&amp;Y181</f>
        <v/>
      </c>
    </row>
    <row r="182" ht="15" customHeight="1" s="95">
      <c r="A182" s="118" t="inlineStr">
        <is>
          <t>MAT-EB-002</t>
        </is>
      </c>
      <c r="B182" s="118" t="inlineStr">
        <is>
          <t>active</t>
        </is>
      </c>
      <c r="C182" s="118" t="inlineStr">
        <is>
          <t>electrical_base</t>
        </is>
      </c>
      <c r="D182" s="118" t="inlineStr">
        <is>
          <t>전기</t>
        </is>
      </c>
      <c r="E182" s="118" t="inlineStr">
        <is>
          <t>기본공사</t>
        </is>
      </c>
      <c r="F182" s="118" t="inlineStr">
        <is>
          <t>현장시공</t>
        </is>
      </c>
      <c r="G182" s="118" t="inlineStr">
        <is>
          <t>전기기본</t>
        </is>
      </c>
      <c r="H182" s="129" t="inlineStr">
        <is>
          <t>전기 분전반 점검+기존 회로 정비+안전기본 (공급면적 ㎡당)</t>
        </is>
      </c>
      <c r="I182" s="118" t="inlineStr">
        <is>
          <t>표준, 주력</t>
        </is>
      </c>
      <c r="J182" s="118" t="inlineStr">
        <is>
          <t>per_m2</t>
        </is>
      </c>
      <c r="K182" s="118" t="n">
        <v>3000</v>
      </c>
      <c r="L182" s="118" t="n">
        <v>3042</v>
      </c>
      <c r="M182" s="118">
        <f>K182+L182</f>
        <v/>
      </c>
      <c r="N182" s="118" t="inlineStr">
        <is>
          <t>시장 시세 (2026-05)</t>
        </is>
      </c>
      <c r="O182" s="118" t="inlineStr">
        <is>
          <t>2026-05</t>
        </is>
      </c>
      <c r="P182" s="118" t="inlineStr">
        <is>
          <t>operator</t>
        </is>
      </c>
      <c r="X182" s="118" t="inlineStr">
        <is>
          <t>공급평당 2만원</t>
        </is>
      </c>
      <c r="Y182" s="129">
        <f>LEFT(I182,FIND(",",I182&amp;",")-1)</f>
        <v/>
      </c>
      <c r="Z182" s="118">
        <f>C182&amp;"|"&amp;Y182</f>
        <v/>
      </c>
      <c r="AA182" s="118">
        <f>E182&amp;"|"&amp;Y182</f>
        <v/>
      </c>
    </row>
    <row r="183" ht="15" customHeight="1" s="95">
      <c r="A183" s="118" t="inlineStr">
        <is>
          <t>MAT-EB-003</t>
        </is>
      </c>
      <c r="B183" s="118" t="inlineStr">
        <is>
          <t>active</t>
        </is>
      </c>
      <c r="C183" s="118" t="inlineStr">
        <is>
          <t>electrical_base</t>
        </is>
      </c>
      <c r="D183" s="118" t="inlineStr">
        <is>
          <t>전기</t>
        </is>
      </c>
      <c r="E183" s="118" t="inlineStr">
        <is>
          <t>기본공사</t>
        </is>
      </c>
      <c r="F183" s="118" t="inlineStr">
        <is>
          <t>현장시공</t>
        </is>
      </c>
      <c r="G183" s="118" t="inlineStr">
        <is>
          <t>전기기본</t>
        </is>
      </c>
      <c r="H183" s="129" t="inlineStr">
        <is>
          <t>전기 분전반 점검+기존 회로 정비+안전기본 (공급면적 ㎡당)</t>
        </is>
      </c>
      <c r="I183" s="118" t="inlineStr">
        <is>
          <t>고급, 주력</t>
        </is>
      </c>
      <c r="J183" s="118" t="inlineStr">
        <is>
          <t>per_m2</t>
        </is>
      </c>
      <c r="K183" s="118" t="n">
        <v>3000</v>
      </c>
      <c r="L183" s="118" t="n">
        <v>3042</v>
      </c>
      <c r="M183" s="118">
        <f>K183+L183</f>
        <v/>
      </c>
      <c r="N183" s="118" t="inlineStr">
        <is>
          <t>시장 시세 (2026-05)</t>
        </is>
      </c>
      <c r="O183" s="118" t="inlineStr">
        <is>
          <t>2026-05</t>
        </is>
      </c>
      <c r="P183" s="118" t="inlineStr">
        <is>
          <t>operator</t>
        </is>
      </c>
      <c r="X183" s="118" t="inlineStr">
        <is>
          <t>공급평당 2만원</t>
        </is>
      </c>
      <c r="Y183" s="129">
        <f>LEFT(I183,FIND(",",I183&amp;",")-1)</f>
        <v/>
      </c>
      <c r="Z183" s="118">
        <f>C183&amp;"|"&amp;Y183</f>
        <v/>
      </c>
      <c r="AA183" s="118">
        <f>E183&amp;"|"&amp;Y183</f>
        <v/>
      </c>
    </row>
    <row r="184" ht="15" customHeight="1" s="95">
      <c r="A184" s="118" t="inlineStr">
        <is>
          <t>MAT-PB-001</t>
        </is>
      </c>
      <c r="B184" s="118" t="inlineStr">
        <is>
          <t>active</t>
        </is>
      </c>
      <c r="C184" s="118" t="inlineStr">
        <is>
          <t>plumbing_base</t>
        </is>
      </c>
      <c r="D184" s="118" t="inlineStr">
        <is>
          <t>설비</t>
        </is>
      </c>
      <c r="E184" s="118" t="inlineStr">
        <is>
          <t>기본공사</t>
        </is>
      </c>
      <c r="F184" s="118" t="inlineStr">
        <is>
          <t>현장시공</t>
        </is>
      </c>
      <c r="G184" s="118" t="inlineStr">
        <is>
          <t>설비기본</t>
        </is>
      </c>
      <c r="H184" s="129" t="inlineStr">
        <is>
          <t>급수/배수 점검+기존 배관 정비+밸브 교체 등 기본 (공급면적 ㎡당)</t>
        </is>
      </c>
      <c r="I184" s="118" t="inlineStr">
        <is>
          <t>가성비, 주력</t>
        </is>
      </c>
      <c r="J184" s="118" t="inlineStr">
        <is>
          <t>per_m2</t>
        </is>
      </c>
      <c r="K184" s="118" t="n">
        <v>3000</v>
      </c>
      <c r="L184" s="118" t="n">
        <v>3042</v>
      </c>
      <c r="M184" s="118">
        <f>K184+L184</f>
        <v/>
      </c>
      <c r="N184" s="118" t="inlineStr">
        <is>
          <t>시장 시세 (2026-05)</t>
        </is>
      </c>
      <c r="O184" s="118" t="inlineStr">
        <is>
          <t>2026-05</t>
        </is>
      </c>
      <c r="P184" s="118" t="inlineStr">
        <is>
          <t>operator</t>
        </is>
      </c>
      <c r="X184" s="118" t="inlineStr">
        <is>
          <t>공급평당 2만원</t>
        </is>
      </c>
      <c r="Y184" s="129">
        <f>LEFT(I184,FIND(",",I184&amp;",")-1)</f>
        <v/>
      </c>
      <c r="Z184" s="118">
        <f>C184&amp;"|"&amp;Y184</f>
        <v/>
      </c>
      <c r="AA184" s="118">
        <f>E184&amp;"|"&amp;Y184</f>
        <v/>
      </c>
    </row>
    <row r="185" ht="15" customHeight="1" s="95">
      <c r="A185" s="118" t="inlineStr">
        <is>
          <t>MAT-PB-002</t>
        </is>
      </c>
      <c r="B185" s="118" t="inlineStr">
        <is>
          <t>active</t>
        </is>
      </c>
      <c r="C185" s="118" t="inlineStr">
        <is>
          <t>plumbing_base</t>
        </is>
      </c>
      <c r="D185" s="118" t="inlineStr">
        <is>
          <t>설비</t>
        </is>
      </c>
      <c r="E185" s="118" t="inlineStr">
        <is>
          <t>기본공사</t>
        </is>
      </c>
      <c r="F185" s="118" t="inlineStr">
        <is>
          <t>현장시공</t>
        </is>
      </c>
      <c r="G185" s="118" t="inlineStr">
        <is>
          <t>설비기본</t>
        </is>
      </c>
      <c r="H185" s="129" t="inlineStr">
        <is>
          <t>급수/배수 점검+기존 배관 정비+밸브 교체 (공급면적 ㎡당)</t>
        </is>
      </c>
      <c r="I185" s="118" t="inlineStr">
        <is>
          <t>표준, 주력</t>
        </is>
      </c>
      <c r="J185" s="118" t="inlineStr">
        <is>
          <t>per_m2</t>
        </is>
      </c>
      <c r="K185" s="118" t="n">
        <v>3000</v>
      </c>
      <c r="L185" s="118" t="n">
        <v>3042</v>
      </c>
      <c r="M185" s="118">
        <f>K185+L185</f>
        <v/>
      </c>
      <c r="N185" s="118" t="inlineStr">
        <is>
          <t>시장 시세 (2026-05)</t>
        </is>
      </c>
      <c r="O185" s="118" t="inlineStr">
        <is>
          <t>2026-05</t>
        </is>
      </c>
      <c r="P185" s="118" t="inlineStr">
        <is>
          <t>operator</t>
        </is>
      </c>
      <c r="X185" s="118" t="inlineStr">
        <is>
          <t>공급평당 2만원</t>
        </is>
      </c>
      <c r="Y185" s="129">
        <f>LEFT(I185,FIND(",",I185&amp;",")-1)</f>
        <v/>
      </c>
      <c r="Z185" s="118">
        <f>C185&amp;"|"&amp;Y185</f>
        <v/>
      </c>
      <c r="AA185" s="118">
        <f>E185&amp;"|"&amp;Y185</f>
        <v/>
      </c>
    </row>
    <row r="186" ht="15" customHeight="1" s="95">
      <c r="A186" s="118" t="inlineStr">
        <is>
          <t>MAT-PB-003</t>
        </is>
      </c>
      <c r="B186" s="118" t="inlineStr">
        <is>
          <t>active</t>
        </is>
      </c>
      <c r="C186" s="118" t="inlineStr">
        <is>
          <t>plumbing_base</t>
        </is>
      </c>
      <c r="D186" s="118" t="inlineStr">
        <is>
          <t>설비</t>
        </is>
      </c>
      <c r="E186" s="118" t="inlineStr">
        <is>
          <t>기본공사</t>
        </is>
      </c>
      <c r="F186" s="118" t="inlineStr">
        <is>
          <t>현장시공</t>
        </is>
      </c>
      <c r="G186" s="118" t="inlineStr">
        <is>
          <t>설비기본</t>
        </is>
      </c>
      <c r="H186" s="129" t="inlineStr">
        <is>
          <t>급수/배수 점검+기존 배관 정비+밸브 교체+정밀 (공급면적 ㎡당)</t>
        </is>
      </c>
      <c r="I186" s="118" t="inlineStr">
        <is>
          <t>고급, 주력</t>
        </is>
      </c>
      <c r="J186" s="118" t="inlineStr">
        <is>
          <t>per_m2</t>
        </is>
      </c>
      <c r="K186" s="118" t="n">
        <v>3000</v>
      </c>
      <c r="L186" s="118" t="n">
        <v>3042</v>
      </c>
      <c r="M186" s="118">
        <f>K186+L186</f>
        <v/>
      </c>
      <c r="N186" s="118" t="inlineStr">
        <is>
          <t>시장 시세 (2026-05)</t>
        </is>
      </c>
      <c r="O186" s="118" t="inlineStr">
        <is>
          <t>2026-05</t>
        </is>
      </c>
      <c r="P186" s="118" t="inlineStr">
        <is>
          <t>operator</t>
        </is>
      </c>
      <c r="X186" s="118" t="inlineStr">
        <is>
          <t>공급평당 2만원</t>
        </is>
      </c>
      <c r="Y186" s="129">
        <f>LEFT(I186,FIND(",",I186&amp;",")-1)</f>
        <v/>
      </c>
      <c r="Z186" s="118">
        <f>C186&amp;"|"&amp;Y186</f>
        <v/>
      </c>
      <c r="AA186" s="118">
        <f>E186&amp;"|"&amp;Y186</f>
        <v/>
      </c>
    </row>
    <row r="187" ht="15" customHeight="1" s="95">
      <c r="A187" s="118" t="inlineStr">
        <is>
          <t>MAT-DP-001</t>
        </is>
      </c>
      <c r="B187" s="118" t="inlineStr">
        <is>
          <t>active</t>
        </is>
      </c>
      <c r="C187" s="118" t="inlineStr">
        <is>
          <t>distribution_panel</t>
        </is>
      </c>
      <c r="D187" s="118" t="inlineStr">
        <is>
          <t>설비</t>
        </is>
      </c>
      <c r="E187" s="118" t="inlineStr">
        <is>
          <t>분배기</t>
        </is>
      </c>
      <c r="F187" s="118" t="inlineStr">
        <is>
          <t>현장시공</t>
        </is>
      </c>
      <c r="G187" s="118" t="inlineStr">
        <is>
          <t>분배기교체</t>
        </is>
      </c>
      <c r="H187" s="118" t="inlineStr">
        <is>
          <t>난방 분배기 교체 (실+직류) 1세트</t>
        </is>
      </c>
      <c r="I187" s="118" t="inlineStr">
        <is>
          <t>가성비, 주력</t>
        </is>
      </c>
      <c r="J187" s="118" t="inlineStr">
        <is>
          <t>per_set</t>
        </is>
      </c>
      <c r="K187" s="118" t="n">
        <v>300000</v>
      </c>
      <c r="L187" s="118" t="n">
        <v>200000</v>
      </c>
      <c r="M187" s="118">
        <f>K187+L187</f>
        <v/>
      </c>
      <c r="N187" s="118" t="inlineStr">
        <is>
          <t>시장 시세 (2026-05)</t>
        </is>
      </c>
      <c r="O187" s="118" t="inlineStr">
        <is>
          <t>2026-05</t>
        </is>
      </c>
      <c r="P187" s="118" t="inlineStr">
        <is>
          <t>operator</t>
        </is>
      </c>
      <c r="X187" s="118" t="inlineStr">
        <is>
          <t>시장 시세 분배기 교체 50만원</t>
        </is>
      </c>
      <c r="Y187" s="129">
        <f>LEFT(I187,FIND(",",I187&amp;",")-1)</f>
        <v/>
      </c>
      <c r="Z187" s="118">
        <f>C187&amp;"|"&amp;Y187</f>
        <v/>
      </c>
      <c r="AA187" s="118">
        <f>E187&amp;"|"&amp;Y187</f>
        <v/>
      </c>
    </row>
    <row r="188" ht="15" customHeight="1" s="95">
      <c r="A188" s="118" t="inlineStr">
        <is>
          <t>MAT-DP-002</t>
        </is>
      </c>
      <c r="B188" s="118" t="inlineStr">
        <is>
          <t>active</t>
        </is>
      </c>
      <c r="C188" s="118" t="inlineStr">
        <is>
          <t>distribution_panel</t>
        </is>
      </c>
      <c r="D188" s="118" t="inlineStr">
        <is>
          <t>설비</t>
        </is>
      </c>
      <c r="E188" s="118" t="inlineStr">
        <is>
          <t>분배기</t>
        </is>
      </c>
      <c r="F188" s="118" t="inlineStr">
        <is>
          <t>현장시공</t>
        </is>
      </c>
      <c r="G188" s="118" t="inlineStr">
        <is>
          <t>분배기교체</t>
        </is>
      </c>
      <c r="H188" s="118" t="inlineStr">
        <is>
          <t>난방 분배기 교체 (실+직류) 1세트</t>
        </is>
      </c>
      <c r="I188" s="118" t="inlineStr">
        <is>
          <t>표준, 주력</t>
        </is>
      </c>
      <c r="J188" s="118" t="inlineStr">
        <is>
          <t>per_set</t>
        </is>
      </c>
      <c r="K188" s="118" t="n">
        <v>300000</v>
      </c>
      <c r="L188" s="118" t="n">
        <v>200000</v>
      </c>
      <c r="M188" s="118">
        <f>K188+L188</f>
        <v/>
      </c>
      <c r="N188" s="118" t="inlineStr">
        <is>
          <t>시장 시세 (2026-05)</t>
        </is>
      </c>
      <c r="O188" s="118" t="inlineStr">
        <is>
          <t>2026-05</t>
        </is>
      </c>
      <c r="P188" s="118" t="inlineStr">
        <is>
          <t>operator</t>
        </is>
      </c>
      <c r="X188" s="118" t="inlineStr">
        <is>
          <t>시장 시세 50만원</t>
        </is>
      </c>
      <c r="Y188" s="129">
        <f>LEFT(I188,FIND(",",I188&amp;",")-1)</f>
        <v/>
      </c>
      <c r="Z188" s="118">
        <f>C188&amp;"|"&amp;Y188</f>
        <v/>
      </c>
      <c r="AA188" s="118">
        <f>E188&amp;"|"&amp;Y188</f>
        <v/>
      </c>
    </row>
    <row r="189" ht="15" customHeight="1" s="95">
      <c r="A189" s="118" t="inlineStr">
        <is>
          <t>MAT-DP-003</t>
        </is>
      </c>
      <c r="B189" s="118" t="inlineStr">
        <is>
          <t>active</t>
        </is>
      </c>
      <c r="C189" s="118" t="inlineStr">
        <is>
          <t>distribution_panel</t>
        </is>
      </c>
      <c r="D189" s="118" t="inlineStr">
        <is>
          <t>설비</t>
        </is>
      </c>
      <c r="E189" s="118" t="inlineStr">
        <is>
          <t>분배기</t>
        </is>
      </c>
      <c r="F189" s="118" t="inlineStr">
        <is>
          <t>현장시공</t>
        </is>
      </c>
      <c r="G189" s="118" t="inlineStr">
        <is>
          <t>분배기교체</t>
        </is>
      </c>
      <c r="H189" s="118" t="inlineStr">
        <is>
          <t>난방 분배기 교체 (실+직류) 1세트</t>
        </is>
      </c>
      <c r="I189" s="118" t="inlineStr">
        <is>
          <t>고급, 주력</t>
        </is>
      </c>
      <c r="J189" s="118" t="inlineStr">
        <is>
          <t>per_set</t>
        </is>
      </c>
      <c r="K189" s="118" t="n">
        <v>300000</v>
      </c>
      <c r="L189" s="118" t="n">
        <v>200000</v>
      </c>
      <c r="M189" s="118">
        <f>K189+L189</f>
        <v/>
      </c>
      <c r="N189" s="118" t="inlineStr">
        <is>
          <t>시장 시세 (2026-05)</t>
        </is>
      </c>
      <c r="O189" s="118" t="inlineStr">
        <is>
          <t>2026-05</t>
        </is>
      </c>
      <c r="P189" s="118" t="inlineStr">
        <is>
          <t>operator</t>
        </is>
      </c>
      <c r="X189" s="118" t="inlineStr">
        <is>
          <t>시장 시세 50만원</t>
        </is>
      </c>
      <c r="Y189" s="129">
        <f>LEFT(I189,FIND(",",I189&amp;",")-1)</f>
        <v/>
      </c>
      <c r="Z189" s="118">
        <f>C189&amp;"|"&amp;Y189</f>
        <v/>
      </c>
      <c r="AA189" s="118">
        <f>E189&amp;"|"&amp;Y189</f>
        <v/>
      </c>
    </row>
    <row r="190" ht="15" customHeight="1" s="95">
      <c r="A190" s="118" t="inlineStr">
        <is>
          <t>MAT-PR-001</t>
        </is>
      </c>
      <c r="B190" s="118" t="inlineStr">
        <is>
          <t>active</t>
        </is>
      </c>
      <c r="C190" s="118" t="inlineStr">
        <is>
          <t>plumbing_relocation</t>
        </is>
      </c>
      <c r="D190" s="118" t="inlineStr">
        <is>
          <t>설비</t>
        </is>
      </c>
      <c r="E190" s="118" t="inlineStr">
        <is>
          <t>배관변경</t>
        </is>
      </c>
      <c r="F190" s="118" t="inlineStr">
        <is>
          <t>현장시공</t>
        </is>
      </c>
      <c r="G190" s="118" t="inlineStr">
        <is>
          <t>배관변경</t>
        </is>
      </c>
      <c r="H190" s="118" t="inlineStr">
        <is>
          <t>주방·욕실 등 배관 위치 변경 (1식)</t>
        </is>
      </c>
      <c r="I190" s="118" t="inlineStr">
        <is>
          <t>가성비, 주력</t>
        </is>
      </c>
      <c r="J190" s="118" t="inlineStr">
        <is>
          <t>per_set</t>
        </is>
      </c>
      <c r="K190" s="118" t="n">
        <v>100000</v>
      </c>
      <c r="L190" s="118" t="n">
        <v>400000</v>
      </c>
      <c r="M190" s="118">
        <f>K190+L190</f>
        <v/>
      </c>
      <c r="N190" s="118" t="inlineStr">
        <is>
          <t>시장 시세 (2026-05)</t>
        </is>
      </c>
      <c r="O190" s="118" t="inlineStr">
        <is>
          <t>2026-05</t>
        </is>
      </c>
      <c r="P190" s="118" t="inlineStr">
        <is>
          <t>operator</t>
        </is>
      </c>
      <c r="X190" s="118" t="inlineStr">
        <is>
          <t>주방 위치 변경 등 50만원</t>
        </is>
      </c>
      <c r="Y190" s="129">
        <f>LEFT(I190,FIND(",",I190&amp;",")-1)</f>
        <v/>
      </c>
      <c r="Z190" s="118">
        <f>C190&amp;"|"&amp;Y190</f>
        <v/>
      </c>
      <c r="AA190" s="118">
        <f>E190&amp;"|"&amp;Y190</f>
        <v/>
      </c>
    </row>
    <row r="191" ht="15" customHeight="1" s="95">
      <c r="A191" s="118" t="inlineStr">
        <is>
          <t>MAT-PR-002</t>
        </is>
      </c>
      <c r="B191" s="118" t="inlineStr">
        <is>
          <t>active</t>
        </is>
      </c>
      <c r="C191" s="118" t="inlineStr">
        <is>
          <t>plumbing_relocation</t>
        </is>
      </c>
      <c r="D191" s="118" t="inlineStr">
        <is>
          <t>설비</t>
        </is>
      </c>
      <c r="E191" s="118" t="inlineStr">
        <is>
          <t>배관변경</t>
        </is>
      </c>
      <c r="F191" s="118" t="inlineStr">
        <is>
          <t>현장시공</t>
        </is>
      </c>
      <c r="G191" s="118" t="inlineStr">
        <is>
          <t>배관변경</t>
        </is>
      </c>
      <c r="H191" s="118" t="inlineStr">
        <is>
          <t>주방·욕실 등 배관 위치 변경 (1식)</t>
        </is>
      </c>
      <c r="I191" s="118" t="inlineStr">
        <is>
          <t>표준, 주력</t>
        </is>
      </c>
      <c r="J191" s="118" t="inlineStr">
        <is>
          <t>per_set</t>
        </is>
      </c>
      <c r="K191" s="118" t="n">
        <v>100000</v>
      </c>
      <c r="L191" s="118" t="n">
        <v>400000</v>
      </c>
      <c r="M191" s="118">
        <f>K191+L191</f>
        <v/>
      </c>
      <c r="N191" s="118" t="inlineStr">
        <is>
          <t>시장 시세 (2026-05)</t>
        </is>
      </c>
      <c r="O191" s="118" t="inlineStr">
        <is>
          <t>2026-05</t>
        </is>
      </c>
      <c r="P191" s="118" t="inlineStr">
        <is>
          <t>operator</t>
        </is>
      </c>
      <c r="X191" s="118" t="inlineStr">
        <is>
          <t>주방 위치 변경 등 50만원</t>
        </is>
      </c>
      <c r="Y191" s="129">
        <f>LEFT(I191,FIND(",",I191&amp;",")-1)</f>
        <v/>
      </c>
      <c r="Z191" s="118">
        <f>C191&amp;"|"&amp;Y191</f>
        <v/>
      </c>
      <c r="AA191" s="118">
        <f>E191&amp;"|"&amp;Y191</f>
        <v/>
      </c>
    </row>
    <row r="192" ht="15" customHeight="1" s="95">
      <c r="A192" s="118" t="inlineStr">
        <is>
          <t>MAT-PR-003</t>
        </is>
      </c>
      <c r="B192" s="118" t="inlineStr">
        <is>
          <t>active</t>
        </is>
      </c>
      <c r="C192" s="118" t="inlineStr">
        <is>
          <t>plumbing_relocation</t>
        </is>
      </c>
      <c r="D192" s="118" t="inlineStr">
        <is>
          <t>설비</t>
        </is>
      </c>
      <c r="E192" s="118" t="inlineStr">
        <is>
          <t>배관변경</t>
        </is>
      </c>
      <c r="F192" s="118" t="inlineStr">
        <is>
          <t>현장시공</t>
        </is>
      </c>
      <c r="G192" s="118" t="inlineStr">
        <is>
          <t>배관변경</t>
        </is>
      </c>
      <c r="H192" s="118" t="inlineStr">
        <is>
          <t>주방·욕실 등 배관 위치 변경+정밀 (1식)</t>
        </is>
      </c>
      <c r="I192" s="118" t="inlineStr">
        <is>
          <t>고급, 주력</t>
        </is>
      </c>
      <c r="J192" s="118" t="inlineStr">
        <is>
          <t>per_set</t>
        </is>
      </c>
      <c r="K192" s="118" t="n">
        <v>100000</v>
      </c>
      <c r="L192" s="118" t="n">
        <v>400000</v>
      </c>
      <c r="M192" s="118">
        <f>K192+L192</f>
        <v/>
      </c>
      <c r="N192" s="118" t="inlineStr">
        <is>
          <t>시장 시세 (2026-05)</t>
        </is>
      </c>
      <c r="O192" s="118" t="inlineStr">
        <is>
          <t>2026-05</t>
        </is>
      </c>
      <c r="P192" s="118" t="inlineStr">
        <is>
          <t>operator</t>
        </is>
      </c>
      <c r="X192" s="118" t="inlineStr">
        <is>
          <t>주방 위치 변경 등 50만원</t>
        </is>
      </c>
      <c r="Y192" s="129">
        <f>LEFT(I192,FIND(",",I192&amp;",")-1)</f>
        <v/>
      </c>
      <c r="Z192" s="118">
        <f>C192&amp;"|"&amp;Y192</f>
        <v/>
      </c>
      <c r="AA192" s="118">
        <f>E192&amp;"|"&amp;Y192</f>
        <v/>
      </c>
    </row>
    <row r="193" ht="15" customHeight="1" s="95">
      <c r="A193" s="118" t="inlineStr">
        <is>
          <t>MAT-TR-001</t>
        </is>
      </c>
      <c r="B193" s="118" t="inlineStr">
        <is>
          <t>active</t>
        </is>
      </c>
      <c r="C193" s="118" t="inlineStr">
        <is>
          <t>thermostat</t>
        </is>
      </c>
      <c r="D193" s="118" t="inlineStr">
        <is>
          <t>설비</t>
        </is>
      </c>
      <c r="E193" s="118" t="inlineStr">
        <is>
          <t>일반 디지털</t>
        </is>
      </c>
      <c r="F193" s="118" t="inlineStr">
        <is>
          <t>하니웰</t>
        </is>
      </c>
      <c r="G193" s="118" t="inlineStr">
        <is>
          <t>일반디지털</t>
        </is>
      </c>
      <c r="H193" s="129" t="inlineStr">
        <is>
          <t>하니웰/세영하이텍 일반 디지털 (자재+인건비)</t>
        </is>
      </c>
      <c r="I193" s="118" t="inlineStr">
        <is>
          <t>가성비, 주력</t>
        </is>
      </c>
      <c r="J193" s="118" t="inlineStr">
        <is>
          <t>per_ea</t>
        </is>
      </c>
      <c r="K193" s="118" t="n">
        <v>50000</v>
      </c>
      <c r="L193" s="118" t="n">
        <v>30000</v>
      </c>
      <c r="M193" s="118">
        <f>K193+L193</f>
        <v/>
      </c>
      <c r="N193" s="118" t="inlineStr">
        <is>
          <t>시장 시세 (2026-05)</t>
        </is>
      </c>
      <c r="O193" s="118" t="inlineStr">
        <is>
          <t>2026-05</t>
        </is>
      </c>
      <c r="P193" s="118" t="inlineStr">
        <is>
          <t>operator</t>
        </is>
      </c>
      <c r="X193" s="118" t="inlineStr">
        <is>
          <t>하니웰 DT100·세영 일반 5~8만</t>
        </is>
      </c>
      <c r="Y193" s="129">
        <f>LEFT(I193,FIND(",",I193&amp;",")-1)</f>
        <v/>
      </c>
      <c r="Z193" s="118">
        <f>C193&amp;"|"&amp;Y193</f>
        <v/>
      </c>
      <c r="AA193" s="118">
        <f>E193&amp;"|"&amp;Y193</f>
        <v/>
      </c>
    </row>
    <row r="194" ht="15" customHeight="1" s="95">
      <c r="A194" s="118" t="inlineStr">
        <is>
          <t>MAT-TR-002</t>
        </is>
      </c>
      <c r="B194" s="118" t="inlineStr">
        <is>
          <t>active</t>
        </is>
      </c>
      <c r="C194" s="118" t="inlineStr">
        <is>
          <t>thermostat</t>
        </is>
      </c>
      <c r="D194" s="118" t="inlineStr">
        <is>
          <t>설비</t>
        </is>
      </c>
      <c r="E194" s="118" t="inlineStr">
        <is>
          <t>스마트 디지털</t>
        </is>
      </c>
      <c r="F194" s="118" t="inlineStr">
        <is>
          <t>경동시스템</t>
        </is>
      </c>
      <c r="G194" s="118" t="inlineStr">
        <is>
          <t>BCM300</t>
        </is>
      </c>
      <c r="H194" s="129" t="inlineStr">
        <is>
          <t>경동시스템 BCM-300 또는 대림 스마트 (자재+인건비)</t>
        </is>
      </c>
      <c r="I194" s="118" t="inlineStr">
        <is>
          <t>표준, 주력</t>
        </is>
      </c>
      <c r="J194" s="118" t="inlineStr">
        <is>
          <t>per_ea</t>
        </is>
      </c>
      <c r="K194" s="118" t="n">
        <v>150000</v>
      </c>
      <c r="L194" s="118" t="n">
        <v>50000</v>
      </c>
      <c r="M194" s="118">
        <f>K194+L194</f>
        <v/>
      </c>
      <c r="N194" s="118" t="inlineStr">
        <is>
          <t>시장 시세 (2026-05)</t>
        </is>
      </c>
      <c r="O194" s="118" t="inlineStr">
        <is>
          <t>2026-05</t>
        </is>
      </c>
      <c r="P194" s="118" t="inlineStr">
        <is>
          <t>operator</t>
        </is>
      </c>
      <c r="X194" s="118" t="inlineStr">
        <is>
          <t>경동/대림 스마트 메인+서브 15~25만</t>
        </is>
      </c>
      <c r="Y194" s="129">
        <f>LEFT(I194,FIND(",",I194&amp;",")-1)</f>
        <v/>
      </c>
      <c r="Z194" s="118">
        <f>C194&amp;"|"&amp;Y194</f>
        <v/>
      </c>
      <c r="AA194" s="118">
        <f>E194&amp;"|"&amp;Y194</f>
        <v/>
      </c>
    </row>
    <row r="195" ht="15" customHeight="1" s="95">
      <c r="A195" s="118" t="inlineStr">
        <is>
          <t>MAT-TR-003</t>
        </is>
      </c>
      <c r="B195" s="118" t="inlineStr">
        <is>
          <t>active</t>
        </is>
      </c>
      <c r="C195" s="118" t="inlineStr">
        <is>
          <t>thermostat</t>
        </is>
      </c>
      <c r="D195" s="118" t="inlineStr">
        <is>
          <t>설비</t>
        </is>
      </c>
      <c r="E195" s="118" t="inlineStr">
        <is>
          <t>IoT 통합</t>
        </is>
      </c>
      <c r="F195" s="118" t="inlineStr">
        <is>
          <t>SiHAS</t>
        </is>
      </c>
      <c r="G195" s="118" t="inlineStr">
        <is>
          <t>BCM300W</t>
        </is>
      </c>
      <c r="H195" s="129" t="inlineStr">
        <is>
          <t>SiHAS BCM-300-W 시즌2 또는 아카라 통합 (자재+인건비)</t>
        </is>
      </c>
      <c r="I195" s="118" t="inlineStr">
        <is>
          <t>고급, 주력</t>
        </is>
      </c>
      <c r="J195" s="118" t="inlineStr">
        <is>
          <t>per_ea</t>
        </is>
      </c>
      <c r="K195" s="118" t="n">
        <v>350000</v>
      </c>
      <c r="L195" s="118" t="n">
        <v>80000</v>
      </c>
      <c r="M195" s="118">
        <f>K195+L195</f>
        <v/>
      </c>
      <c r="N195" s="118" t="inlineStr">
        <is>
          <t>시장 시세 (2026-05)</t>
        </is>
      </c>
      <c r="O195" s="118" t="inlineStr">
        <is>
          <t>2026-05</t>
        </is>
      </c>
      <c r="P195" s="118" t="inlineStr">
        <is>
          <t>operator</t>
        </is>
      </c>
      <c r="X195" s="118" t="inlineStr">
        <is>
          <t>IoT 통합 스마트홈 연동 35~45만</t>
        </is>
      </c>
      <c r="Y195" s="129">
        <f>LEFT(I195,FIND(",",I195&amp;",")-1)</f>
        <v/>
      </c>
      <c r="Z195" s="118">
        <f>C195&amp;"|"&amp;Y195</f>
        <v/>
      </c>
      <c r="AA195" s="118">
        <f>E195&amp;"|"&amp;Y195</f>
        <v/>
      </c>
    </row>
    <row r="196" ht="15" customHeight="1" s="95">
      <c r="A196" s="118" t="inlineStr">
        <is>
          <t>MAT-SI-LAB-001</t>
        </is>
      </c>
      <c r="B196" s="118" t="inlineStr">
        <is>
          <t>active</t>
        </is>
      </c>
      <c r="C196" s="118" t="inlineStr">
        <is>
          <t>silicon_labor</t>
        </is>
      </c>
      <c r="D196" s="118" t="inlineStr">
        <is>
          <t>실리콘</t>
        </is>
      </c>
      <c r="E196" s="118" t="inlineStr">
        <is>
          <t>저가 인건</t>
        </is>
      </c>
      <c r="F196" s="118" t="inlineStr">
        <is>
          <t>현장시공</t>
        </is>
      </c>
      <c r="G196" s="118" t="inlineStr">
        <is>
          <t>실리콘인건비</t>
        </is>
      </c>
      <c r="H196" s="129" t="inlineStr">
        <is>
          <t>34평 기준 25만 (별도 발주 시) — 부위별 시공자 통합</t>
        </is>
      </c>
      <c r="I196" s="118" t="inlineStr">
        <is>
          <t>가성비, 주력</t>
        </is>
      </c>
      <c r="J196" s="118" t="inlineStr">
        <is>
          <t>per_set</t>
        </is>
      </c>
      <c r="K196" s="118" t="n">
        <v>0</v>
      </c>
      <c r="L196" s="118" t="n">
        <v>250000</v>
      </c>
      <c r="M196" s="118">
        <f>K196+L196</f>
        <v/>
      </c>
      <c r="N196" s="118" t="inlineStr">
        <is>
          <t>시장정보 기반 (34평 기준)</t>
        </is>
      </c>
      <c r="O196" s="118" t="inlineStr">
        <is>
          <t>2026-05</t>
        </is>
      </c>
      <c r="P196" s="118" t="inlineStr">
        <is>
          <t>operator</t>
        </is>
      </c>
      <c r="X196" s="118" t="inlineStr">
        <is>
          <t>34평 기준 가성비 25만, 평형 환산 적용</t>
        </is>
      </c>
      <c r="Y196" s="129">
        <f>LEFT(I196,FIND(",",I196&amp;",")-1)</f>
        <v/>
      </c>
      <c r="Z196" s="118">
        <f>C196&amp;"|"&amp;Y196</f>
        <v/>
      </c>
      <c r="AA196" s="118">
        <f>E196&amp;"|"&amp;Y196</f>
        <v/>
      </c>
    </row>
    <row r="197" ht="15" customHeight="1" s="95">
      <c r="A197" s="118" t="inlineStr">
        <is>
          <t>MAT-SI-LAB-002</t>
        </is>
      </c>
      <c r="B197" s="118" t="inlineStr">
        <is>
          <t>active</t>
        </is>
      </c>
      <c r="C197" s="118" t="inlineStr">
        <is>
          <t>silicon_labor</t>
        </is>
      </c>
      <c r="D197" s="118" t="inlineStr">
        <is>
          <t>실리콘</t>
        </is>
      </c>
      <c r="E197" s="118" t="inlineStr">
        <is>
          <t>표준 인건</t>
        </is>
      </c>
      <c r="F197" s="118" t="inlineStr">
        <is>
          <t>현장시공</t>
        </is>
      </c>
      <c r="G197" s="118" t="inlineStr">
        <is>
          <t>실리콘인건비</t>
        </is>
      </c>
      <c r="H197" s="129" t="inlineStr">
        <is>
          <t>34평 기준 40만 (별도 발주) — 전문 실리콘 시공</t>
        </is>
      </c>
      <c r="I197" s="118" t="inlineStr">
        <is>
          <t>표준, 주력</t>
        </is>
      </c>
      <c r="J197" s="118" t="inlineStr">
        <is>
          <t>per_set</t>
        </is>
      </c>
      <c r="K197" s="118" t="n">
        <v>0</v>
      </c>
      <c r="L197" s="118" t="n">
        <v>400000</v>
      </c>
      <c r="M197" s="118">
        <f>K197+L197</f>
        <v/>
      </c>
      <c r="N197" s="118" t="inlineStr">
        <is>
          <t>시장정보 기반 (34평 기준)</t>
        </is>
      </c>
      <c r="O197" s="118" t="inlineStr">
        <is>
          <t>2026-05</t>
        </is>
      </c>
      <c r="P197" s="118" t="inlineStr">
        <is>
          <t>operator</t>
        </is>
      </c>
      <c r="X197" s="118" t="inlineStr">
        <is>
          <t>34평 기준 표준 40만, 평형 환산 적용</t>
        </is>
      </c>
      <c r="Y197" s="129">
        <f>LEFT(I197,FIND(",",I197&amp;",")-1)</f>
        <v/>
      </c>
      <c r="Z197" s="118">
        <f>C197&amp;"|"&amp;Y197</f>
        <v/>
      </c>
      <c r="AA197" s="118">
        <f>E197&amp;"|"&amp;Y197</f>
        <v/>
      </c>
    </row>
    <row r="198" ht="15" customHeight="1" s="95">
      <c r="A198" s="118" t="inlineStr">
        <is>
          <t>MAT-SI-LAB-003</t>
        </is>
      </c>
      <c r="B198" s="118" t="inlineStr">
        <is>
          <t>active</t>
        </is>
      </c>
      <c r="C198" s="118" t="inlineStr">
        <is>
          <t>silicon_labor</t>
        </is>
      </c>
      <c r="D198" s="118" t="inlineStr">
        <is>
          <t>실리콘</t>
        </is>
      </c>
      <c r="E198" s="118" t="inlineStr">
        <is>
          <t>고급 인건</t>
        </is>
      </c>
      <c r="F198" s="118" t="inlineStr">
        <is>
          <t>현장시공</t>
        </is>
      </c>
      <c r="G198" s="118" t="inlineStr">
        <is>
          <t>실리콘인건비</t>
        </is>
      </c>
      <c r="H198" s="129" t="inlineStr">
        <is>
          <t>34평 기준 55만 (전문 시공자 별도 발주)</t>
        </is>
      </c>
      <c r="I198" s="118" t="inlineStr">
        <is>
          <t>고급, 주력</t>
        </is>
      </c>
      <c r="J198" s="118" t="inlineStr">
        <is>
          <t>per_set</t>
        </is>
      </c>
      <c r="K198" s="118" t="n">
        <v>0</v>
      </c>
      <c r="L198" s="118" t="n">
        <v>550000</v>
      </c>
      <c r="M198" s="118">
        <f>K198+L198</f>
        <v/>
      </c>
      <c r="N198" s="118" t="inlineStr">
        <is>
          <t>시장정보 기반 (34평 기준)</t>
        </is>
      </c>
      <c r="O198" s="118" t="inlineStr">
        <is>
          <t>2026-05</t>
        </is>
      </c>
      <c r="P198" s="118" t="inlineStr">
        <is>
          <t>operator</t>
        </is>
      </c>
      <c r="X198" s="118" t="inlineStr">
        <is>
          <t>34평 기준 고급 55만, 평형 환산 적용</t>
        </is>
      </c>
      <c r="Y198" s="129">
        <f>LEFT(I198,FIND(",",I198&amp;",")-1)</f>
        <v/>
      </c>
      <c r="Z198" s="118">
        <f>C198&amp;"|"&amp;Y198</f>
        <v/>
      </c>
      <c r="AA198" s="118">
        <f>E198&amp;"|"&amp;Y198</f>
        <v/>
      </c>
    </row>
    <row r="199" ht="15" customHeight="1" s="95">
      <c r="A199" s="118" t="inlineStr">
        <is>
          <t>MAT-SI-MAT-001</t>
        </is>
      </c>
      <c r="B199" s="118" t="inlineStr">
        <is>
          <t>active</t>
        </is>
      </c>
      <c r="C199" s="118" t="inlineStr">
        <is>
          <t>silicon_bio</t>
        </is>
      </c>
      <c r="D199" s="118" t="inlineStr">
        <is>
          <t>실리콘</t>
        </is>
      </c>
      <c r="E199" s="118" t="inlineStr">
        <is>
          <t>영진 일반</t>
        </is>
      </c>
      <c r="F199" s="118" t="inlineStr">
        <is>
          <t>현장시공</t>
        </is>
      </c>
      <c r="G199" s="118" t="inlineStr">
        <is>
          <t>일반실리콘</t>
        </is>
      </c>
      <c r="H199" s="129" t="inlineStr">
        <is>
          <t>영진 일반 라인 카트리지 4천원 — 욕실 항균 X, 가성비 한정</t>
        </is>
      </c>
      <c r="I199" s="118" t="inlineStr">
        <is>
          <t>가성비, 주력</t>
        </is>
      </c>
      <c r="J199" s="118" t="inlineStr">
        <is>
          <t>per_set</t>
        </is>
      </c>
      <c r="K199" s="118" t="n">
        <v>100000</v>
      </c>
      <c r="L199" s="118" t="n">
        <v>0</v>
      </c>
      <c r="M199" s="118">
        <f>K199+L199</f>
        <v/>
      </c>
      <c r="N199" s="118" t="inlineStr">
        <is>
          <t>시장정보 기반 (34평 기준)</t>
        </is>
      </c>
      <c r="O199" s="118" t="inlineStr">
        <is>
          <t>2026-05</t>
        </is>
      </c>
      <c r="P199" s="118" t="inlineStr">
        <is>
          <t>operator</t>
        </is>
      </c>
      <c r="X199" s="129" t="inlineStr">
        <is>
          <t>34평 기준 욕실주방 자재 10만 (실 사용량 보정 50% 적용, 전체 16.5만 × 60%)</t>
        </is>
      </c>
      <c r="Y199" s="129">
        <f>LEFT(I199,FIND(",",I199&amp;",")-1)</f>
        <v/>
      </c>
      <c r="Z199" s="118">
        <f>C199&amp;"|"&amp;Y199</f>
        <v/>
      </c>
      <c r="AA199" s="118">
        <f>E199&amp;"|"&amp;Y199</f>
        <v/>
      </c>
    </row>
    <row r="200" ht="15" customHeight="1" s="95">
      <c r="A200" s="118" t="inlineStr">
        <is>
          <t>MAT-SI-MAT-002</t>
        </is>
      </c>
      <c r="B200" s="118" t="inlineStr">
        <is>
          <t>active</t>
        </is>
      </c>
      <c r="C200" s="118" t="inlineStr">
        <is>
          <t>silicon_bio</t>
        </is>
      </c>
      <c r="D200" s="118" t="inlineStr">
        <is>
          <t>실리콘</t>
        </is>
      </c>
      <c r="E200" s="118" t="inlineStr">
        <is>
          <t>영진 바이오</t>
        </is>
      </c>
      <c r="F200" s="118" t="inlineStr">
        <is>
          <t>현장시공</t>
        </is>
      </c>
      <c r="G200" s="118" t="inlineStr">
        <is>
          <t>고급실리콘</t>
        </is>
      </c>
      <c r="H200" s="129" t="inlineStr">
        <is>
          <t>영진 바이오 카트리지 5~6천원 — 국산 점유율 1위, 항균 5년+</t>
        </is>
      </c>
      <c r="I200" s="118" t="inlineStr">
        <is>
          <t>표준, 주력</t>
        </is>
      </c>
      <c r="J200" s="118" t="inlineStr">
        <is>
          <t>per_set</t>
        </is>
      </c>
      <c r="K200" s="118" t="n">
        <v>135000</v>
      </c>
      <c r="L200" s="118" t="n">
        <v>0</v>
      </c>
      <c r="M200" s="118">
        <f>K200+L200</f>
        <v/>
      </c>
      <c r="N200" s="118" t="inlineStr">
        <is>
          <t>시장정보 기반 (34평 기준)</t>
        </is>
      </c>
      <c r="O200" s="118" t="inlineStr">
        <is>
          <t>2026-05</t>
        </is>
      </c>
      <c r="P200" s="118" t="inlineStr">
        <is>
          <t>operator</t>
        </is>
      </c>
      <c r="X200" s="129" t="inlineStr">
        <is>
          <t>34평 기준 욕실주방 자재 13.5만 (실 사용량 보정 50% 적용, 전체 22.5만 × 60%)</t>
        </is>
      </c>
      <c r="Y200" s="129">
        <f>LEFT(I200,FIND(",",I200&amp;",")-1)</f>
        <v/>
      </c>
      <c r="Z200" s="118">
        <f>C200&amp;"|"&amp;Y200</f>
        <v/>
      </c>
      <c r="AA200" s="118">
        <f>E200&amp;"|"&amp;Y200</f>
        <v/>
      </c>
    </row>
    <row r="201" ht="15" customHeight="1" s="95">
      <c r="A201" s="118" t="inlineStr">
        <is>
          <t>MAT-SI-MAT-003</t>
        </is>
      </c>
      <c r="B201" s="118" t="inlineStr">
        <is>
          <t>active</t>
        </is>
      </c>
      <c r="C201" s="118" t="inlineStr">
        <is>
          <t>silicon_bio</t>
        </is>
      </c>
      <c r="D201" s="118" t="inlineStr">
        <is>
          <t>실리콘</t>
        </is>
      </c>
      <c r="E201" s="118" t="inlineStr">
        <is>
          <t>모멘티브 토씰 83</t>
        </is>
      </c>
      <c r="F201" s="118" t="inlineStr">
        <is>
          <t>현장시공</t>
        </is>
      </c>
      <c r="G201" s="118" t="inlineStr">
        <is>
          <t>고급실리콘</t>
        </is>
      </c>
      <c r="H201" s="129" t="inlineStr">
        <is>
          <t>글로벌 1위 카트리지 9~12천원 — 호텔·병원 시방서, 항균 10년+</t>
        </is>
      </c>
      <c r="I201" s="118" t="inlineStr">
        <is>
          <t>고급, 주력</t>
        </is>
      </c>
      <c r="J201" s="118" t="inlineStr">
        <is>
          <t>per_set</t>
        </is>
      </c>
      <c r="K201" s="118" t="n">
        <v>175000</v>
      </c>
      <c r="L201" s="118" t="n">
        <v>0</v>
      </c>
      <c r="M201" s="118">
        <f>K201+L201</f>
        <v/>
      </c>
      <c r="N201" s="118" t="inlineStr">
        <is>
          <t>시장정보 기반 (34평 기준)</t>
        </is>
      </c>
      <c r="O201" s="118" t="inlineStr">
        <is>
          <t>2026-05</t>
        </is>
      </c>
      <c r="P201" s="118" t="inlineStr">
        <is>
          <t>operator</t>
        </is>
      </c>
      <c r="X201" s="129" t="inlineStr">
        <is>
          <t>34평 기준 욕실주방 자재 17.5만 (실 사용량 보정 50% 적용, 전체 29만 × 60%)</t>
        </is>
      </c>
      <c r="Y201" s="129">
        <f>LEFT(I201,FIND(",",I201&amp;",")-1)</f>
        <v/>
      </c>
      <c r="Z201" s="118">
        <f>C201&amp;"|"&amp;Y201</f>
        <v/>
      </c>
      <c r="AA201" s="118">
        <f>E201&amp;"|"&amp;Y201</f>
        <v/>
      </c>
    </row>
    <row r="202" ht="15" customHeight="1" s="95">
      <c r="A202" s="118" t="inlineStr">
        <is>
          <t>MAT-SI-MOD-001</t>
        </is>
      </c>
      <c r="B202" s="118" t="inlineStr">
        <is>
          <t>active</t>
        </is>
      </c>
      <c r="C202" s="118" t="inlineStr">
        <is>
          <t>silicon_modified</t>
        </is>
      </c>
      <c r="D202" s="118" t="inlineStr">
        <is>
          <t>실리콘</t>
        </is>
      </c>
      <c r="E202" s="118" t="inlineStr">
        <is>
          <t>영진 비초산</t>
        </is>
      </c>
      <c r="F202" s="118" t="inlineStr">
        <is>
          <t>현장시공</t>
        </is>
      </c>
      <c r="G202" s="118" t="inlineStr">
        <is>
          <t>영진비초산</t>
        </is>
      </c>
      <c r="H202" s="129" t="inlineStr">
        <is>
          <t>영진 비초산 라인 — 외부 노출 5~7년 내구</t>
        </is>
      </c>
      <c r="I202" s="118" t="inlineStr">
        <is>
          <t>가성비, 주력</t>
        </is>
      </c>
      <c r="J202" s="118" t="inlineStr">
        <is>
          <t>per_set</t>
        </is>
      </c>
      <c r="K202" s="118" t="n">
        <v>52500</v>
      </c>
      <c r="L202" s="118" t="n">
        <v>0</v>
      </c>
      <c r="M202" s="118">
        <f>K202+L202</f>
        <v/>
      </c>
      <c r="N202" s="118" t="inlineStr">
        <is>
          <t>시장정보 (2026-05)</t>
        </is>
      </c>
      <c r="O202" s="118" t="inlineStr">
        <is>
          <t>2026-05</t>
        </is>
      </c>
      <c r="P202" s="118" t="inlineStr">
        <is>
          <t>operator</t>
        </is>
      </c>
      <c r="X202" s="129" t="inlineStr">
        <is>
          <t>34평 기준 외기 자재 5.25만 (실 사용량 보정 50% 적용, 16.5만 × 32%)</t>
        </is>
      </c>
      <c r="Y202" s="129">
        <f>LEFT(I202,FIND(",",I202&amp;",")-1)</f>
        <v/>
      </c>
      <c r="Z202" s="118">
        <f>C202&amp;"|"&amp;Y202</f>
        <v/>
      </c>
      <c r="AA202" s="118">
        <f>E202&amp;"|"&amp;Y202</f>
        <v/>
      </c>
    </row>
    <row r="203" ht="15" customHeight="1" s="95">
      <c r="A203" s="118" t="inlineStr">
        <is>
          <t>MAT-SI-MOD-002</t>
        </is>
      </c>
      <c r="B203" s="118" t="inlineStr">
        <is>
          <t>active</t>
        </is>
      </c>
      <c r="C203" s="118" t="inlineStr">
        <is>
          <t>silicon_modified</t>
        </is>
      </c>
      <c r="D203" s="118" t="inlineStr">
        <is>
          <t>실리콘</t>
        </is>
      </c>
      <c r="E203" s="118" t="inlineStr">
        <is>
          <t>영진 변성</t>
        </is>
      </c>
      <c r="F203" s="118" t="inlineStr">
        <is>
          <t>현장시공</t>
        </is>
      </c>
      <c r="G203" s="118" t="inlineStr">
        <is>
          <t>영진MS</t>
        </is>
      </c>
      <c r="H203" s="129" t="inlineStr">
        <is>
          <t>영진 변성실리콘 MS 라인 — 외기·옥상 등 내구 10년</t>
        </is>
      </c>
      <c r="I203" s="118" t="inlineStr">
        <is>
          <t>표준, 주력</t>
        </is>
      </c>
      <c r="J203" s="118" t="inlineStr">
        <is>
          <t>per_set</t>
        </is>
      </c>
      <c r="K203" s="118" t="n">
        <v>72500</v>
      </c>
      <c r="L203" s="118" t="n">
        <v>0</v>
      </c>
      <c r="M203" s="118">
        <f>K203+L203</f>
        <v/>
      </c>
      <c r="N203" s="118" t="inlineStr">
        <is>
          <t>시장정보 (2026-05)</t>
        </is>
      </c>
      <c r="O203" s="118" t="inlineStr">
        <is>
          <t>2026-05</t>
        </is>
      </c>
      <c r="P203" s="118" t="inlineStr">
        <is>
          <t>operator</t>
        </is>
      </c>
      <c r="X203" s="129" t="inlineStr">
        <is>
          <t>34평 기준 외기 자재 7.25만 (실 사용량 보정 50% 적용, 22.5만 × 32%)</t>
        </is>
      </c>
      <c r="Y203" s="129">
        <f>LEFT(I203,FIND(",",I203&amp;",")-1)</f>
        <v/>
      </c>
      <c r="Z203" s="118">
        <f>C203&amp;"|"&amp;Y203</f>
        <v/>
      </c>
      <c r="AA203" s="118">
        <f>E203&amp;"|"&amp;Y203</f>
        <v/>
      </c>
    </row>
    <row r="204" ht="15" customHeight="1" s="95">
      <c r="A204" s="118" t="inlineStr">
        <is>
          <t>MAT-SI-MOD-003</t>
        </is>
      </c>
      <c r="B204" s="118" t="inlineStr">
        <is>
          <t>active</t>
        </is>
      </c>
      <c r="C204" s="118" t="inlineStr">
        <is>
          <t>silicon_modified</t>
        </is>
      </c>
      <c r="D204" s="118" t="inlineStr">
        <is>
          <t>실리콘</t>
        </is>
      </c>
      <c r="E204" s="118" t="inlineStr">
        <is>
          <t>Dow 변성</t>
        </is>
      </c>
      <c r="F204" s="118" t="inlineStr">
        <is>
          <t>현장시공</t>
        </is>
      </c>
      <c r="G204" s="118" t="inlineStr">
        <is>
          <t>Dow변성</t>
        </is>
      </c>
      <c r="H204" s="129" t="inlineStr">
        <is>
          <t>Dow 변성실리콘 — 외기 내구 15년+, 시공 시방서</t>
        </is>
      </c>
      <c r="I204" s="118" t="inlineStr">
        <is>
          <t>고급, 주력</t>
        </is>
      </c>
      <c r="J204" s="118" t="inlineStr">
        <is>
          <t>per_set</t>
        </is>
      </c>
      <c r="K204" s="118" t="n">
        <v>92500</v>
      </c>
      <c r="L204" s="118" t="n">
        <v>0</v>
      </c>
      <c r="M204" s="118">
        <f>K204+L204</f>
        <v/>
      </c>
      <c r="N204" s="118" t="inlineStr">
        <is>
          <t>시장정보 (2026-05)</t>
        </is>
      </c>
      <c r="O204" s="118" t="inlineStr">
        <is>
          <t>2026-05</t>
        </is>
      </c>
      <c r="P204" s="118" t="inlineStr">
        <is>
          <t>operator</t>
        </is>
      </c>
      <c r="X204" s="129" t="inlineStr">
        <is>
          <t>34평 기준 외기 자재 9.25만 (실 사용량 보정 50% 적용, 29만 × 32%)</t>
        </is>
      </c>
      <c r="Y204" s="129">
        <f>LEFT(I204,FIND(",",I204&amp;",")-1)</f>
        <v/>
      </c>
      <c r="Z204" s="118">
        <f>C204&amp;"|"&amp;Y204</f>
        <v/>
      </c>
      <c r="AA204" s="118">
        <f>E204&amp;"|"&amp;Y204</f>
        <v/>
      </c>
    </row>
    <row r="205" ht="15" customHeight="1" s="95">
      <c r="A205" s="118" t="inlineStr">
        <is>
          <t>MAT-ETC-001</t>
        </is>
      </c>
      <c r="B205" s="118" t="inlineStr">
        <is>
          <t>active</t>
        </is>
      </c>
      <c r="C205" s="118" t="inlineStr">
        <is>
          <t>기타</t>
        </is>
      </c>
      <c r="D205" s="118" t="inlineStr">
        <is>
          <t>기타</t>
        </is>
      </c>
      <c r="E205" s="118" t="inlineStr">
        <is>
          <t>엘리베이터 보양</t>
        </is>
      </c>
      <c r="F205" s="118" t="inlineStr">
        <is>
          <t>현장시공</t>
        </is>
      </c>
      <c r="G205" s="118" t="inlineStr">
        <is>
          <t>표준 보양</t>
        </is>
      </c>
      <c r="H205" s="129" t="inlineStr">
        <is>
          <t>층간 보양재(골판지, 보양테이프) + 시공 일식. 모든 평형 공통.</t>
        </is>
      </c>
      <c r="I205" s="118" t="inlineStr">
        <is>
          <t>단일등급, 주력</t>
        </is>
      </c>
      <c r="J205" s="118" t="inlineStr">
        <is>
          <t>set</t>
        </is>
      </c>
      <c r="K205" s="118" t="n">
        <v>200000</v>
      </c>
      <c r="L205" s="118" t="n">
        <v>400000</v>
      </c>
      <c r="M205" s="118">
        <f>K205+L205</f>
        <v/>
      </c>
      <c r="N205" s="118" t="inlineStr">
        <is>
          <t>시장정보 (2026-05)</t>
        </is>
      </c>
      <c r="O205" s="118" t="inlineStr">
        <is>
          <t>2026-05</t>
        </is>
      </c>
      <c r="P205" s="118" t="inlineStr">
        <is>
          <t>operator</t>
        </is>
      </c>
      <c r="X205" s="129" t="inlineStr">
        <is>
          <t>엘리베이터 1대 기준. 6동 이상 공동주택 의무 보양.</t>
        </is>
      </c>
      <c r="Y205" s="129">
        <f>LEFT(I205,FIND(",",I205&amp;",")-1)</f>
        <v/>
      </c>
      <c r="Z205" s="118">
        <f>C205&amp;"|"&amp;Y205</f>
        <v/>
      </c>
      <c r="AA205" s="118">
        <f>E205&amp;"|"&amp;Y205</f>
        <v/>
      </c>
    </row>
    <row r="206" ht="15" customHeight="1" s="95">
      <c r="A206" s="118" t="inlineStr">
        <is>
          <t>MAT-ETC-002</t>
        </is>
      </c>
      <c r="B206" s="118" t="inlineStr">
        <is>
          <t>active</t>
        </is>
      </c>
      <c r="C206" s="118" t="inlineStr">
        <is>
          <t>기타</t>
        </is>
      </c>
      <c r="D206" s="118" t="inlineStr">
        <is>
          <t>기타</t>
        </is>
      </c>
      <c r="E206" s="118" t="inlineStr">
        <is>
          <t>주민동의서 징구</t>
        </is>
      </c>
      <c r="F206" s="118" t="inlineStr">
        <is>
          <t>현장시공</t>
        </is>
      </c>
      <c r="G206" s="118" t="inlineStr">
        <is>
          <t>표준 행정대행</t>
        </is>
      </c>
      <c r="H206" s="129" t="inlineStr">
        <is>
          <t>관리사무소 등기·동의서 배포·회수 일식. 평형 무관.</t>
        </is>
      </c>
      <c r="I206" s="118" t="inlineStr">
        <is>
          <t>단일등급, 주력</t>
        </is>
      </c>
      <c r="J206" s="118" t="inlineStr">
        <is>
          <t>set</t>
        </is>
      </c>
      <c r="K206" s="118" t="n">
        <v>0</v>
      </c>
      <c r="L206" s="118" t="n">
        <v>600000</v>
      </c>
      <c r="M206" s="118">
        <f>K206+L206</f>
        <v/>
      </c>
      <c r="N206" s="118" t="inlineStr">
        <is>
          <t>시장정보 (2026-05)</t>
        </is>
      </c>
      <c r="O206" s="118" t="inlineStr">
        <is>
          <t>2026-05</t>
        </is>
      </c>
      <c r="P206" s="118" t="inlineStr">
        <is>
          <t>operator</t>
        </is>
      </c>
      <c r="X206" s="129" t="inlineStr">
        <is>
          <t>확장공사 시 인접 세대 동의 필요 평면에 적용. 평형 무관 고정비.</t>
        </is>
      </c>
      <c r="Y206" s="129">
        <f>LEFT(I206,FIND(",",I206&amp;",")-1)</f>
        <v/>
      </c>
      <c r="Z206" s="118">
        <f>C206&amp;"|"&amp;Y206</f>
        <v/>
      </c>
      <c r="AA206" s="118">
        <f>E206&amp;"|"&amp;Y206</f>
        <v/>
      </c>
    </row>
    <row r="207" ht="15" customHeight="1" s="95">
      <c r="A207" s="118" t="inlineStr">
        <is>
          <t>MAT-ETC-003</t>
        </is>
      </c>
      <c r="B207" s="118" t="inlineStr">
        <is>
          <t>active</t>
        </is>
      </c>
      <c r="C207" s="118" t="inlineStr">
        <is>
          <t>기타</t>
        </is>
      </c>
      <c r="D207" s="118" t="inlineStr">
        <is>
          <t>기타</t>
        </is>
      </c>
      <c r="E207" s="118" t="inlineStr">
        <is>
          <t>준공청소</t>
        </is>
      </c>
      <c r="F207" s="118" t="inlineStr">
        <is>
          <t>현장시공</t>
        </is>
      </c>
      <c r="G207" s="118" t="inlineStr">
        <is>
          <t>표준 청소</t>
        </is>
      </c>
      <c r="H207" s="129" t="inlineStr">
        <is>
          <t>입주 전 마무리 청소. 마룻결, 욕실 줄눈, 창틀 세부 청소.</t>
        </is>
      </c>
      <c r="I207" s="118" t="inlineStr">
        <is>
          <t>단일등급, 주력</t>
        </is>
      </c>
      <c r="J207" s="118" t="inlineStr">
        <is>
          <t>평</t>
        </is>
      </c>
      <c r="K207" s="118" t="n">
        <v>5000</v>
      </c>
      <c r="L207" s="118" t="n">
        <v>15000</v>
      </c>
      <c r="M207" s="118">
        <f>K207+L207</f>
        <v/>
      </c>
      <c r="N207" s="118" t="inlineStr">
        <is>
          <t>시장정보 (2026-05)</t>
        </is>
      </c>
      <c r="O207" s="118" t="inlineStr">
        <is>
          <t>2026-05</t>
        </is>
      </c>
      <c r="P207" s="118" t="inlineStr">
        <is>
          <t>operator</t>
        </is>
      </c>
      <c r="X207" s="129" t="inlineStr">
        <is>
          <t>공급면적 ×단가. 24평=48만/34평=68만/46평=92만.</t>
        </is>
      </c>
      <c r="Y207" s="129">
        <f>LEFT(I207,FIND(",",I207&amp;",")-1)</f>
        <v/>
      </c>
      <c r="Z207" s="118">
        <f>C207&amp;"|"&amp;Y207</f>
        <v/>
      </c>
      <c r="AA207" s="118">
        <f>E207&amp;"|"&amp;Y207</f>
        <v/>
      </c>
    </row>
    <row r="208" ht="15" customHeight="1" s="95">
      <c r="A208" s="118" t="inlineStr">
        <is>
          <t>MAT-KT-001</t>
        </is>
      </c>
      <c r="B208" s="118" t="inlineStr">
        <is>
          <t>active</t>
        </is>
      </c>
      <c r="C208" s="118" t="inlineStr">
        <is>
          <t>kitchen_furniture</t>
        </is>
      </c>
      <c r="D208" s="118" t="inlineStr">
        <is>
          <t>주방가구</t>
        </is>
      </c>
      <c r="E208" s="118" t="inlineStr">
        <is>
          <t>주방가구 세트</t>
        </is>
      </c>
      <c r="F208" s="118" t="inlineStr">
        <is>
          <t>현장시공</t>
        </is>
      </c>
      <c r="G208" s="118" t="inlineStr">
        <is>
          <t>사제 제작</t>
        </is>
      </c>
      <c r="H208" s="129" t="inlineStr">
        <is>
          <t>몸체: E1 MDF LPM, 도어: 영림급 PET보드 + PUR 엣지 마감</t>
        </is>
      </c>
      <c r="I208" s="118" t="inlineStr">
        <is>
          <t>가성비, 주력</t>
        </is>
      </c>
      <c r="J208" s="118" t="inlineStr">
        <is>
          <t>per_m</t>
        </is>
      </c>
      <c r="K208" s="118" t="n">
        <v>850000</v>
      </c>
      <c r="L208" s="118" t="n">
        <v>300000</v>
      </c>
      <c r="M208" s="118">
        <f>K208+L208</f>
        <v/>
      </c>
      <c r="N208" s="118" t="inlineStr">
        <is>
          <t>시장정보 (2026-05)</t>
        </is>
      </c>
      <c r="O208" s="118" t="inlineStr">
        <is>
          <t>2026-05</t>
        </is>
      </c>
      <c r="P208" s="118" t="inlineStr">
        <is>
          <t>operator</t>
        </is>
      </c>
      <c r="X208" s="129" t="inlineStr">
        <is>
          <t>사제 제작 가성비 세트. body(자재25만+인건5만) + door(자재60만+인건25만) 합산.</t>
        </is>
      </c>
      <c r="Y208" s="129">
        <f>LEFT(I208,FIND(",",I208&amp;",")-1)</f>
        <v/>
      </c>
      <c r="Z208" s="118">
        <f>C208&amp;"|"&amp;Y208</f>
        <v/>
      </c>
      <c r="AA208" s="118">
        <f>E208&amp;"|"&amp;Y208</f>
        <v/>
      </c>
    </row>
    <row r="209" ht="15" customHeight="1" s="95">
      <c r="A209" s="118" t="inlineStr">
        <is>
          <t>MAT-KT-002</t>
        </is>
      </c>
      <c r="B209" s="118" t="inlineStr">
        <is>
          <t>active</t>
        </is>
      </c>
      <c r="C209" s="118" t="inlineStr">
        <is>
          <t>kitchen_furniture</t>
        </is>
      </c>
      <c r="D209" s="118" t="inlineStr">
        <is>
          <t>주방가구</t>
        </is>
      </c>
      <c r="E209" s="118" t="inlineStr">
        <is>
          <t>주방가구 세트</t>
        </is>
      </c>
      <c r="F209" s="118" t="inlineStr">
        <is>
          <t>현장시공</t>
        </is>
      </c>
      <c r="G209" s="118" t="inlineStr">
        <is>
          <t>사제 제작</t>
        </is>
      </c>
      <c r="H209" s="129" t="inlineStr">
        <is>
          <t>몸체: E0 MDF LPM(친환경), 도어: 한솔 스토리보드 + 제로조인트 마감</t>
        </is>
      </c>
      <c r="I209" s="118" t="inlineStr">
        <is>
          <t>표준, 주력</t>
        </is>
      </c>
      <c r="J209" s="118" t="inlineStr">
        <is>
          <t>per_m</t>
        </is>
      </c>
      <c r="K209" s="118" t="n">
        <v>1330000</v>
      </c>
      <c r="L209" s="118" t="n">
        <v>370000</v>
      </c>
      <c r="M209" s="118">
        <f>K209+L209</f>
        <v/>
      </c>
      <c r="N209" s="118" t="inlineStr">
        <is>
          <t>시장정보 (2026-05)</t>
        </is>
      </c>
      <c r="O209" s="118" t="inlineStr">
        <is>
          <t>2026-05</t>
        </is>
      </c>
      <c r="P209" s="118" t="inlineStr">
        <is>
          <t>operator</t>
        </is>
      </c>
      <c r="X209" s="129" t="inlineStr">
        <is>
          <t>사제 제작 표준 세트. body(자재38만+인건7만) + door(자재95만+인건30만) 합산.</t>
        </is>
      </c>
      <c r="Y209" s="129">
        <f>LEFT(I209,FIND(",",I209&amp;",")-1)</f>
        <v/>
      </c>
      <c r="Z209" s="118">
        <f>C209&amp;"|"&amp;Y209</f>
        <v/>
      </c>
      <c r="AA209" s="118">
        <f>E209&amp;"|"&amp;Y209</f>
        <v/>
      </c>
    </row>
    <row r="210" ht="15" customHeight="1" s="95">
      <c r="A210" s="118" t="inlineStr">
        <is>
          <t>MAT-KT-003</t>
        </is>
      </c>
      <c r="B210" s="118" t="inlineStr">
        <is>
          <t>active</t>
        </is>
      </c>
      <c r="C210" s="118" t="inlineStr">
        <is>
          <t>kitchen_furniture</t>
        </is>
      </c>
      <c r="D210" s="118" t="inlineStr">
        <is>
          <t>주방가구</t>
        </is>
      </c>
      <c r="E210" s="118" t="inlineStr">
        <is>
          <t>주방가구 세트</t>
        </is>
      </c>
      <c r="F210" s="118" t="inlineStr">
        <is>
          <t>한샘</t>
        </is>
      </c>
      <c r="G210" s="118" t="inlineStr">
        <is>
          <t>유로900급</t>
        </is>
      </c>
      <c r="H210" s="129" t="inlineStr">
        <is>
          <t>몸체: E0 MDF LPM(친환경), 도어: 한샘 유로900 MDF 우레탄 도장</t>
        </is>
      </c>
      <c r="I210" s="118" t="inlineStr">
        <is>
          <t>고급, 주력</t>
        </is>
      </c>
      <c r="J210" s="118" t="inlineStr">
        <is>
          <t>per_m</t>
        </is>
      </c>
      <c r="K210" s="118" t="n">
        <v>1650000</v>
      </c>
      <c r="L210" s="118" t="n">
        <v>450000</v>
      </c>
      <c r="M210" s="118">
        <f>K210+L210</f>
        <v/>
      </c>
      <c r="N210" s="118" t="inlineStr">
        <is>
          <t>시장정보 (2026-05)</t>
        </is>
      </c>
      <c r="O210" s="118" t="inlineStr">
        <is>
          <t>2026-05</t>
        </is>
      </c>
      <c r="P210" s="118" t="inlineStr">
        <is>
          <t>operator</t>
        </is>
      </c>
      <c r="X210" s="129" t="inlineStr">
        <is>
          <t>한샘 900급 고급 세트. body(자재60만+인건10만) + door(자재105만+인건35만) 합산.</t>
        </is>
      </c>
      <c r="Y210" s="129">
        <f>LEFT(I210,FIND(",",I210&amp;",")-1)</f>
        <v/>
      </c>
      <c r="Z210" s="118">
        <f>C210&amp;"|"&amp;Y210</f>
        <v/>
      </c>
      <c r="AA210" s="118">
        <f>E210&amp;"|"&amp;Y210</f>
        <v/>
      </c>
    </row>
    <row r="211" ht="15" customHeight="1" s="95">
      <c r="A211" s="118" t="inlineStr">
        <is>
          <t>MAT-TD-001</t>
        </is>
      </c>
      <c r="B211" s="118" t="inlineStr">
        <is>
          <t>active</t>
        </is>
      </c>
      <c r="C211" s="118" t="inlineStr">
        <is>
          <t>window</t>
        </is>
      </c>
      <c r="D211" s="118" t="inlineStr">
        <is>
          <t>창호</t>
        </is>
      </c>
      <c r="E211" s="118" t="inlineStr">
        <is>
          <t>터닝도어</t>
        </is>
      </c>
      <c r="F211" s="118" t="inlineStr">
        <is>
          <t>KCC창호</t>
        </is>
      </c>
      <c r="G211" s="118" t="inlineStr">
        <is>
          <t>LiV Suite</t>
        </is>
      </c>
      <c r="H211" s="129" t="inlineStr">
        <is>
          <t>KCC창호 LiV Suite 시스템 터닝도어. 슬라이딩+여닫이 복합 구조. 16mm 복층유리.</t>
        </is>
      </c>
      <c r="I211" s="118" t="inlineStr">
        <is>
          <t>가성비, 주력</t>
        </is>
      </c>
      <c r="J211" s="118" t="inlineStr">
        <is>
          <t>per_ea</t>
        </is>
      </c>
      <c r="K211" s="118" t="n">
        <v>800000</v>
      </c>
      <c r="L211" s="118" t="n">
        <v>400000</v>
      </c>
      <c r="M211" s="118">
        <f>K211+L211</f>
        <v/>
      </c>
      <c r="N211" s="118" t="inlineStr">
        <is>
          <t>시장정보 (2026-05, 추정)</t>
        </is>
      </c>
      <c r="O211" s="118" t="inlineStr">
        <is>
          <t>2026-05</t>
        </is>
      </c>
      <c r="P211" s="118" t="inlineStr">
        <is>
          <t>operator</t>
        </is>
      </c>
      <c r="X211" s="129" t="inlineStr">
        <is>
          <t>KCC창호 기본형. 자재 80만+시공 40만.</t>
        </is>
      </c>
      <c r="Y211" s="129">
        <f>LEFT(I211,FIND(",",I211&amp;",")-1)</f>
        <v/>
      </c>
      <c r="Z211" s="118">
        <f>C211&amp;"|"&amp;Y211</f>
        <v/>
      </c>
      <c r="AA211" s="118">
        <f>E211&amp;"|"&amp;Y211</f>
        <v/>
      </c>
    </row>
    <row r="212" ht="15" customHeight="1" s="95">
      <c r="A212" s="118" t="inlineStr">
        <is>
          <t>MAT-TD-002</t>
        </is>
      </c>
      <c r="B212" s="118" t="inlineStr">
        <is>
          <t>active</t>
        </is>
      </c>
      <c r="C212" s="118" t="inlineStr">
        <is>
          <t>window</t>
        </is>
      </c>
      <c r="D212" s="118" t="inlineStr">
        <is>
          <t>창호</t>
        </is>
      </c>
      <c r="E212" s="118" t="inlineStr">
        <is>
          <t>터닝도어</t>
        </is>
      </c>
      <c r="F212" s="118" t="inlineStr">
        <is>
          <t>LX하우시스</t>
        </is>
      </c>
      <c r="G212" s="118" t="inlineStr">
        <is>
          <t>LSS-30 (일반)</t>
        </is>
      </c>
      <c r="H212" s="129" t="inlineStr">
        <is>
          <t>LX하우시스 LSS-30. 24mm 로이복층유리, 알루미늄 프레임.</t>
        </is>
      </c>
      <c r="I212" s="118" t="inlineStr">
        <is>
          <t>표준, 주력</t>
        </is>
      </c>
      <c r="J212" s="118" t="inlineStr">
        <is>
          <t>per_ea</t>
        </is>
      </c>
      <c r="K212" s="118" t="n">
        <v>1300000</v>
      </c>
      <c r="L212" s="118" t="n">
        <v>500000</v>
      </c>
      <c r="M212" s="118">
        <f>K212+L212</f>
        <v/>
      </c>
      <c r="N212" s="118" t="inlineStr">
        <is>
          <t>시장정보 (2026-05, 추정)</t>
        </is>
      </c>
      <c r="O212" s="118" t="inlineStr">
        <is>
          <t>2026-05</t>
        </is>
      </c>
      <c r="P212" s="118" t="inlineStr">
        <is>
          <t>operator</t>
        </is>
      </c>
      <c r="X212" s="129" t="inlineStr">
        <is>
          <t>LX하우시스 일반급. 자재 130만+시공 50만.</t>
        </is>
      </c>
      <c r="Y212" s="129">
        <f>LEFT(I212,FIND(",",I212&amp;",")-1)</f>
        <v/>
      </c>
      <c r="Z212" s="118">
        <f>C212&amp;"|"&amp;Y212</f>
        <v/>
      </c>
      <c r="AA212" s="118">
        <f>E212&amp;"|"&amp;Y212</f>
        <v/>
      </c>
    </row>
    <row r="213" ht="15" customHeight="1" s="95">
      <c r="A213" s="118" t="inlineStr">
        <is>
          <t>MAT-TD-003</t>
        </is>
      </c>
      <c r="B213" s="118" t="inlineStr">
        <is>
          <t>active</t>
        </is>
      </c>
      <c r="C213" s="118" t="inlineStr">
        <is>
          <t>window</t>
        </is>
      </c>
      <c r="D213" s="118" t="inlineStr">
        <is>
          <t>창호</t>
        </is>
      </c>
      <c r="E213" s="118" t="inlineStr">
        <is>
          <t>터닝도어</t>
        </is>
      </c>
      <c r="F213" s="118" t="inlineStr">
        <is>
          <t>LX하우시스</t>
        </is>
      </c>
      <c r="G213" s="118" t="inlineStr">
        <is>
          <t>PRESTIGE</t>
        </is>
      </c>
      <c r="H213" s="129" t="inlineStr">
        <is>
          <t>LX PRESTIGE. 28mm 트리플 로이유리, 강화 단열 알루미늄 프레임.</t>
        </is>
      </c>
      <c r="I213" s="118" t="inlineStr">
        <is>
          <t>고급, 주력</t>
        </is>
      </c>
      <c r="J213" s="118" t="inlineStr">
        <is>
          <t>per_ea</t>
        </is>
      </c>
      <c r="K213" s="118" t="n">
        <v>2200000</v>
      </c>
      <c r="L213" s="118" t="n">
        <v>600000</v>
      </c>
      <c r="M213" s="118">
        <f>K213+L213</f>
        <v/>
      </c>
      <c r="N213" s="118" t="inlineStr">
        <is>
          <t>시장정보 (2026-05, 추정)</t>
        </is>
      </c>
      <c r="O213" s="118" t="inlineStr">
        <is>
          <t>2026-05</t>
        </is>
      </c>
      <c r="P213" s="118" t="inlineStr">
        <is>
          <t>operator</t>
        </is>
      </c>
      <c r="X213" s="118" t="inlineStr">
        <is>
          <t>LX 프리미엄. 자재 220만+시공 60만.</t>
        </is>
      </c>
      <c r="Y213" s="129">
        <f>LEFT(I213,FIND(",",I213&amp;",")-1)</f>
        <v/>
      </c>
      <c r="Z213" s="118">
        <f>C213&amp;"|"&amp;Y213</f>
        <v/>
      </c>
      <c r="AA213" s="118">
        <f>E213&amp;"|"&amp;Y213</f>
        <v/>
      </c>
    </row>
    <row r="214" ht="15" customHeight="1" s="95">
      <c r="A214" s="118" t="inlineStr">
        <is>
          <t>MAT-DF-001</t>
        </is>
      </c>
      <c r="B214" s="118" t="inlineStr">
        <is>
          <t>active</t>
        </is>
      </c>
      <c r="C214" s="118" t="inlineStr">
        <is>
          <t>door_replacement</t>
        </is>
      </c>
      <c r="D214" s="118" t="inlineStr">
        <is>
          <t>필름</t>
        </is>
      </c>
      <c r="E214" s="118" t="inlineStr">
        <is>
          <t>인테리어 필름</t>
        </is>
      </c>
      <c r="F214" s="118" t="inlineStr">
        <is>
          <t>영림</t>
        </is>
      </c>
      <c r="G214" s="118" t="inlineStr">
        <is>
          <t>가구필름</t>
        </is>
      </c>
      <c r="H214" s="118" t="inlineStr">
        <is>
          <t>영림 가구필름 + 시공 일식.</t>
        </is>
      </c>
      <c r="I214" s="118" t="inlineStr">
        <is>
          <t>가성비, 주력</t>
        </is>
      </c>
      <c r="J214" s="118" t="inlineStr">
        <is>
          <t>per_ea</t>
        </is>
      </c>
      <c r="K214" s="118" t="n">
        <v>70000</v>
      </c>
      <c r="L214" s="118" t="n">
        <v>70000</v>
      </c>
      <c r="M214" s="118">
        <f>K214+L214</f>
        <v/>
      </c>
      <c r="N214" s="118" t="inlineStr">
        <is>
          <t>시장정보 (2026-05, 적극추정)</t>
        </is>
      </c>
      <c r="O214" s="118" t="inlineStr">
        <is>
          <t>2026-05</t>
        </is>
      </c>
      <c r="P214" s="118" t="inlineStr">
        <is>
          <t>operator</t>
        </is>
      </c>
      <c r="X214" s="118" t="inlineStr">
        <is>
          <t>영림 가성비 PVC 필름.</t>
        </is>
      </c>
      <c r="Y214" s="129">
        <f>LEFT(I214,FIND(",",I214&amp;",")-1)</f>
        <v/>
      </c>
      <c r="Z214" s="118">
        <f>C214&amp;"|"&amp;Y214</f>
        <v/>
      </c>
      <c r="AA214" s="118">
        <f>E214&amp;"|"&amp;Y214</f>
        <v/>
      </c>
    </row>
    <row r="215" ht="15" customHeight="1" s="95">
      <c r="A215" s="118" t="inlineStr">
        <is>
          <t>MAT-DF-002</t>
        </is>
      </c>
      <c r="B215" s="118" t="inlineStr">
        <is>
          <t>active</t>
        </is>
      </c>
      <c r="C215" s="118" t="inlineStr">
        <is>
          <t>door_replacement</t>
        </is>
      </c>
      <c r="D215" s="118" t="inlineStr">
        <is>
          <t>필름</t>
        </is>
      </c>
      <c r="E215" s="118" t="inlineStr">
        <is>
          <t>인테리어 필름</t>
        </is>
      </c>
      <c r="F215" s="118" t="inlineStr">
        <is>
          <t>LX하우시스</t>
        </is>
      </c>
      <c r="G215" s="118" t="inlineStr">
        <is>
          <t>BENIF 일반</t>
        </is>
      </c>
      <c r="H215" s="118" t="inlineStr">
        <is>
          <t>LX BENIF 일반.</t>
        </is>
      </c>
      <c r="I215" s="118" t="inlineStr">
        <is>
          <t>표준, 주력</t>
        </is>
      </c>
      <c r="J215" s="118" t="inlineStr">
        <is>
          <t>per_ea</t>
        </is>
      </c>
      <c r="K215" s="118" t="n">
        <v>120000</v>
      </c>
      <c r="L215" s="118" t="n">
        <v>100000</v>
      </c>
      <c r="M215" s="118">
        <f>K215+L215</f>
        <v/>
      </c>
      <c r="N215" s="118" t="inlineStr">
        <is>
          <t>시장정보 (2026-05, 적극추정)</t>
        </is>
      </c>
      <c r="O215" s="118" t="inlineStr">
        <is>
          <t>2026-05</t>
        </is>
      </c>
      <c r="P215" s="118" t="inlineStr">
        <is>
          <t>operator</t>
        </is>
      </c>
      <c r="X215" s="118" t="inlineStr">
        <is>
          <t>LX BENIF 일반급.</t>
        </is>
      </c>
      <c r="Y215" s="129">
        <f>LEFT(I215,FIND(",",I215&amp;",")-1)</f>
        <v/>
      </c>
      <c r="Z215" s="118">
        <f>C215&amp;"|"&amp;Y215</f>
        <v/>
      </c>
      <c r="AA215" s="118">
        <f>E215&amp;"|"&amp;Y215</f>
        <v/>
      </c>
    </row>
    <row r="216" ht="15" customHeight="1" s="95">
      <c r="A216" s="118" t="inlineStr">
        <is>
          <t>MAT-DF-003</t>
        </is>
      </c>
      <c r="B216" s="118" t="inlineStr">
        <is>
          <t>active</t>
        </is>
      </c>
      <c r="C216" s="118" t="inlineStr">
        <is>
          <t>door_replacement</t>
        </is>
      </c>
      <c r="D216" s="118" t="inlineStr">
        <is>
          <t>필름</t>
        </is>
      </c>
      <c r="E216" s="118" t="inlineStr">
        <is>
          <t>인테리어 필름</t>
        </is>
      </c>
      <c r="F216" s="118" t="inlineStr">
        <is>
          <t>LX하우시스</t>
        </is>
      </c>
      <c r="G216" s="118" t="inlineStr">
        <is>
          <t>BENIF 고급</t>
        </is>
      </c>
      <c r="H216" s="118" t="inlineStr">
        <is>
          <t>LX BENIF 고급 + 무광.</t>
        </is>
      </c>
      <c r="I216" s="118" t="inlineStr">
        <is>
          <t>고급, 주력</t>
        </is>
      </c>
      <c r="J216" s="118" t="inlineStr">
        <is>
          <t>per_ea</t>
        </is>
      </c>
      <c r="K216" s="118" t="n">
        <v>180000</v>
      </c>
      <c r="L216" s="118" t="n">
        <v>140000</v>
      </c>
      <c r="M216" s="118">
        <f>K216+L216</f>
        <v/>
      </c>
      <c r="N216" s="118" t="inlineStr">
        <is>
          <t>시장정보 (2026-05, 적극추정)</t>
        </is>
      </c>
      <c r="O216" s="118" t="inlineStr">
        <is>
          <t>2026-05</t>
        </is>
      </c>
      <c r="P216" s="118" t="inlineStr">
        <is>
          <t>operator</t>
        </is>
      </c>
      <c r="X216" s="118" t="inlineStr">
        <is>
          <t>LX BENIF 고급 라인.</t>
        </is>
      </c>
      <c r="Y216" s="129">
        <f>LEFT(I216,FIND(",",I216&amp;",")-1)</f>
        <v/>
      </c>
      <c r="Z216" s="118">
        <f>C216&amp;"|"&amp;Y216</f>
        <v/>
      </c>
      <c r="AA216" s="118">
        <f>E216&amp;"|"&amp;Y216</f>
        <v/>
      </c>
    </row>
    <row r="217" ht="15" customHeight="1" s="95">
      <c r="A217" s="118" t="inlineStr">
        <is>
          <t>MAT-DR-001</t>
        </is>
      </c>
      <c r="B217" s="118" t="inlineStr">
        <is>
          <t>active</t>
        </is>
      </c>
      <c r="C217" s="118" t="inlineStr">
        <is>
          <t>door_replacement</t>
        </is>
      </c>
      <c r="D217" s="118" t="inlineStr">
        <is>
          <t>도어</t>
        </is>
      </c>
      <c r="E217" s="118" t="inlineStr">
        <is>
          <t>문틀 교체</t>
        </is>
      </c>
      <c r="F217" s="118" t="inlineStr">
        <is>
          <t>현장시공</t>
        </is>
      </c>
      <c r="G217" s="118" t="inlineStr">
        <is>
          <t>12mm 일반 문선</t>
        </is>
      </c>
      <c r="H217" s="118" t="inlineStr">
        <is>
          <t>MDF 멤브레인 + 12mm 일반 문선.</t>
        </is>
      </c>
      <c r="I217" s="118" t="inlineStr">
        <is>
          <t>가성비, 주력</t>
        </is>
      </c>
      <c r="J217" s="118" t="inlineStr">
        <is>
          <t>per_ea</t>
        </is>
      </c>
      <c r="K217" s="118" t="n">
        <v>250000</v>
      </c>
      <c r="L217" s="118" t="n">
        <v>200000</v>
      </c>
      <c r="M217" s="118">
        <f>K217+L217</f>
        <v/>
      </c>
      <c r="N217" s="118" t="inlineStr">
        <is>
          <t>시장정보 (2026-05, 적극추정)</t>
        </is>
      </c>
      <c r="O217" s="118" t="inlineStr">
        <is>
          <t>2026-05</t>
        </is>
      </c>
      <c r="P217" s="118" t="inlineStr">
        <is>
          <t>operator</t>
        </is>
      </c>
      <c r="X217" s="118" t="inlineStr">
        <is>
          <t>가성비 표준 교체.</t>
        </is>
      </c>
      <c r="Y217" s="129">
        <f>LEFT(I217,FIND(",",I217&amp;",")-1)</f>
        <v/>
      </c>
      <c r="Z217" s="118">
        <f>C217&amp;"|"&amp;Y217</f>
        <v/>
      </c>
      <c r="AA217" s="118">
        <f>E217&amp;"|"&amp;Y217</f>
        <v/>
      </c>
    </row>
    <row r="218" ht="15" customHeight="1" s="95">
      <c r="A218" s="118" t="inlineStr">
        <is>
          <t>MAT-DR-002</t>
        </is>
      </c>
      <c r="B218" s="118" t="inlineStr">
        <is>
          <t>active</t>
        </is>
      </c>
      <c r="C218" s="118" t="inlineStr">
        <is>
          <t>door_replacement</t>
        </is>
      </c>
      <c r="D218" s="118" t="inlineStr">
        <is>
          <t>도어</t>
        </is>
      </c>
      <c r="E218" s="118" t="inlineStr">
        <is>
          <t>문틀 교체</t>
        </is>
      </c>
      <c r="F218" s="118" t="inlineStr">
        <is>
          <t>현장시공</t>
        </is>
      </c>
      <c r="G218" s="118" t="inlineStr">
        <is>
          <t>9mm 슬림 문선</t>
        </is>
      </c>
      <c r="H218" s="118" t="inlineStr">
        <is>
          <t>MDF 멤브레인 + 9mm 슬림 문선.</t>
        </is>
      </c>
      <c r="I218" s="118" t="inlineStr">
        <is>
          <t>표준, 주력</t>
        </is>
      </c>
      <c r="J218" s="118" t="inlineStr">
        <is>
          <t>per_ea</t>
        </is>
      </c>
      <c r="K218" s="118" t="n">
        <v>320000</v>
      </c>
      <c r="L218" s="118" t="n">
        <v>230000</v>
      </c>
      <c r="M218" s="118">
        <f>K218+L218</f>
        <v/>
      </c>
      <c r="N218" s="118" t="inlineStr">
        <is>
          <t>시장정보 (2026-05, 적극추정)</t>
        </is>
      </c>
      <c r="O218" s="118" t="inlineStr">
        <is>
          <t>2026-05</t>
        </is>
      </c>
      <c r="P218" s="118" t="inlineStr">
        <is>
          <t>operator</t>
        </is>
      </c>
      <c r="X218" s="118" t="inlineStr">
        <is>
          <t>표준급.</t>
        </is>
      </c>
      <c r="Y218" s="129">
        <f>LEFT(I218,FIND(",",I218&amp;",")-1)</f>
        <v/>
      </c>
      <c r="Z218" s="118">
        <f>C218&amp;"|"&amp;Y218</f>
        <v/>
      </c>
      <c r="AA218" s="118">
        <f>E218&amp;"|"&amp;Y218</f>
        <v/>
      </c>
    </row>
    <row r="219" ht="15" customHeight="1" s="95">
      <c r="A219" s="118" t="inlineStr">
        <is>
          <t>MAT-DR-003</t>
        </is>
      </c>
      <c r="B219" s="118" t="inlineStr">
        <is>
          <t>active</t>
        </is>
      </c>
      <c r="C219" s="118" t="inlineStr">
        <is>
          <t>door_replacement</t>
        </is>
      </c>
      <c r="D219" s="118" t="inlineStr">
        <is>
          <t>도어</t>
        </is>
      </c>
      <c r="E219" s="118" t="inlineStr">
        <is>
          <t>문틀 교체</t>
        </is>
      </c>
      <c r="F219" s="118" t="inlineStr">
        <is>
          <t>현장시공</t>
        </is>
      </c>
      <c r="G219" s="118" t="inlineStr">
        <is>
          <t>무문선 (히든)</t>
        </is>
      </c>
      <c r="H219" s="118" t="inlineStr">
        <is>
          <t>무문선 매입형 문틀 + 평면 도어.</t>
        </is>
      </c>
      <c r="I219" s="118" t="inlineStr">
        <is>
          <t>고급, 주력</t>
        </is>
      </c>
      <c r="J219" s="118" t="inlineStr">
        <is>
          <t>per_ea</t>
        </is>
      </c>
      <c r="K219" s="118" t="n">
        <v>400000</v>
      </c>
      <c r="L219" s="118" t="n">
        <v>300000</v>
      </c>
      <c r="M219" s="118">
        <f>K219+L219</f>
        <v/>
      </c>
      <c r="N219" s="118" t="inlineStr">
        <is>
          <t>시장정보 (2026-05, 적극추정)</t>
        </is>
      </c>
      <c r="O219" s="118" t="inlineStr">
        <is>
          <t>2026-05</t>
        </is>
      </c>
      <c r="P219" s="118" t="inlineStr">
        <is>
          <t>operator</t>
        </is>
      </c>
      <c r="X219" s="118" t="inlineStr">
        <is>
          <t>프리미엄 무문선.</t>
        </is>
      </c>
      <c r="Y219" s="129">
        <f>LEFT(I219,FIND(",",I219&amp;",")-1)</f>
        <v/>
      </c>
      <c r="Z219" s="118">
        <f>C219&amp;"|"&amp;Y219</f>
        <v/>
      </c>
      <c r="AA219" s="118">
        <f>E219&amp;"|"&amp;Y219</f>
        <v/>
      </c>
    </row>
    <row r="220" ht="15" customHeight="1" s="95">
      <c r="A220" s="118" t="inlineStr">
        <is>
          <t>MAT-DO-001</t>
        </is>
      </c>
      <c r="B220" s="118" t="inlineStr">
        <is>
          <t>active</t>
        </is>
      </c>
      <c r="C220" s="118" t="inlineStr">
        <is>
          <t>door_replacement</t>
        </is>
      </c>
      <c r="D220" s="118" t="inlineStr">
        <is>
          <t>도어</t>
        </is>
      </c>
      <c r="E220" s="118" t="inlineStr">
        <is>
          <t>문짝 교체</t>
        </is>
      </c>
      <c r="F220" s="118" t="inlineStr">
        <is>
          <t>현장시공</t>
        </is>
      </c>
      <c r="G220" s="118" t="inlineStr">
        <is>
          <t>문짝 단독 (가성비)</t>
        </is>
      </c>
      <c r="H220" s="129" t="inlineStr">
        <is>
          <t>기존 문틀 유지 + 문짝만 교체. 멤브레인 도어.</t>
        </is>
      </c>
      <c r="I220" s="118" t="inlineStr">
        <is>
          <t>가성비, 주력</t>
        </is>
      </c>
      <c r="J220" s="118" t="inlineStr">
        <is>
          <t>per_ea</t>
        </is>
      </c>
      <c r="K220" s="118" t="n">
        <v>120000</v>
      </c>
      <c r="L220" s="118" t="n">
        <v>100000</v>
      </c>
      <c r="M220" s="118">
        <f>K220+L220</f>
        <v/>
      </c>
      <c r="N220" s="118" t="inlineStr">
        <is>
          <t>시장정보 (2026-05, 적극추정)</t>
        </is>
      </c>
      <c r="O220" s="118" t="inlineStr">
        <is>
          <t>2026-05</t>
        </is>
      </c>
      <c r="P220" s="118" t="inlineStr">
        <is>
          <t>operator</t>
        </is>
      </c>
      <c r="X220" s="118" t="inlineStr">
        <is>
          <t>가성비. 자재 12+인건 10=22만/EA.</t>
        </is>
      </c>
      <c r="Y220" s="129">
        <f>LEFT(I220,FIND(",",I220&amp;",")-1)</f>
        <v/>
      </c>
      <c r="Z220" s="118">
        <f>C220&amp;"|"&amp;Y220</f>
        <v/>
      </c>
      <c r="AA220" s="118">
        <f>E220&amp;"|"&amp;Y220</f>
        <v/>
      </c>
    </row>
    <row r="221" ht="15" customHeight="1" s="95">
      <c r="A221" s="118" t="inlineStr">
        <is>
          <t>MAT-DO-002</t>
        </is>
      </c>
      <c r="B221" s="118" t="inlineStr">
        <is>
          <t>active</t>
        </is>
      </c>
      <c r="C221" s="118" t="inlineStr">
        <is>
          <t>door_replacement</t>
        </is>
      </c>
      <c r="D221" s="118" t="inlineStr">
        <is>
          <t>도어</t>
        </is>
      </c>
      <c r="E221" s="118" t="inlineStr">
        <is>
          <t>문짝 교체</t>
        </is>
      </c>
      <c r="F221" s="118" t="inlineStr">
        <is>
          <t>현장시공</t>
        </is>
      </c>
      <c r="G221" s="118" t="inlineStr">
        <is>
          <t>문짝 단독 (표준)</t>
        </is>
      </c>
      <c r="H221" s="129" t="inlineStr">
        <is>
          <t>기존 문틀 유지 + 문짝 교체. PET 시트 도어.</t>
        </is>
      </c>
      <c r="I221" s="118" t="inlineStr">
        <is>
          <t>표준, 주력</t>
        </is>
      </c>
      <c r="J221" s="118" t="inlineStr">
        <is>
          <t>per_ea</t>
        </is>
      </c>
      <c r="K221" s="118" t="n">
        <v>180000</v>
      </c>
      <c r="L221" s="118" t="n">
        <v>120000</v>
      </c>
      <c r="M221" s="118">
        <f>K221+L221</f>
        <v/>
      </c>
      <c r="N221" s="118" t="inlineStr">
        <is>
          <t>시장정보 (2026-05, 적극추정)</t>
        </is>
      </c>
      <c r="O221" s="118" t="inlineStr">
        <is>
          <t>2026-05</t>
        </is>
      </c>
      <c r="P221" s="118" t="inlineStr">
        <is>
          <t>operator</t>
        </is>
      </c>
      <c r="X221" s="118" t="inlineStr">
        <is>
          <t>표준. 자재 18+인건 12=30만/EA.</t>
        </is>
      </c>
      <c r="Y221" s="129">
        <f>LEFT(I221,FIND(",",I221&amp;",")-1)</f>
        <v/>
      </c>
      <c r="Z221" s="118">
        <f>C221&amp;"|"&amp;Y221</f>
        <v/>
      </c>
      <c r="AA221" s="118">
        <f>E221&amp;"|"&amp;Y221</f>
        <v/>
      </c>
    </row>
    <row r="222" ht="15" customHeight="1" s="95">
      <c r="A222" s="118" t="inlineStr">
        <is>
          <t>MAT-DO-003</t>
        </is>
      </c>
      <c r="B222" s="118" t="inlineStr">
        <is>
          <t>active</t>
        </is>
      </c>
      <c r="C222" s="118" t="inlineStr">
        <is>
          <t>door_replacement</t>
        </is>
      </c>
      <c r="D222" s="118" t="inlineStr">
        <is>
          <t>도어</t>
        </is>
      </c>
      <c r="E222" s="118" t="inlineStr">
        <is>
          <t>문짝 교체</t>
        </is>
      </c>
      <c r="F222" s="118" t="inlineStr">
        <is>
          <t>현장시공</t>
        </is>
      </c>
      <c r="G222" s="118" t="inlineStr">
        <is>
          <t>문짝 단독 (고급)</t>
        </is>
      </c>
      <c r="H222" s="129" t="inlineStr">
        <is>
          <t>기존 문틀 유지 + 문짝 교체. 우레탄 도장 도어.</t>
        </is>
      </c>
      <c r="I222" s="118" t="inlineStr">
        <is>
          <t>고급, 주력</t>
        </is>
      </c>
      <c r="J222" s="118" t="inlineStr">
        <is>
          <t>per_ea</t>
        </is>
      </c>
      <c r="K222" s="118" t="n">
        <v>270000</v>
      </c>
      <c r="L222" s="118" t="n">
        <v>150000</v>
      </c>
      <c r="M222" s="118">
        <f>K222+L222</f>
        <v/>
      </c>
      <c r="N222" s="118" t="inlineStr">
        <is>
          <t>시장정보 (2026-05, 적극추정)</t>
        </is>
      </c>
      <c r="O222" s="118" t="inlineStr">
        <is>
          <t>2026-05</t>
        </is>
      </c>
      <c r="P222" s="118" t="inlineStr">
        <is>
          <t>operator</t>
        </is>
      </c>
      <c r="X222" s="118" t="inlineStr">
        <is>
          <t>고급. 자재 27+인건 15=42만/EA.</t>
        </is>
      </c>
      <c r="Y222" s="129">
        <f>LEFT(I222,FIND(",",I222&amp;",")-1)</f>
        <v/>
      </c>
      <c r="Z222" s="118">
        <f>C222&amp;"|"&amp;Y222</f>
        <v/>
      </c>
      <c r="AA222" s="118">
        <f>E222&amp;"|"&amp;Y222</f>
        <v/>
      </c>
    </row>
    <row r="223" ht="15" customHeight="1" s="95">
      <c r="A223" s="118" t="inlineStr">
        <is>
          <t>MAT-NL-001</t>
        </is>
      </c>
      <c r="B223" s="118" t="inlineStr">
        <is>
          <t>active</t>
        </is>
      </c>
      <c r="C223" s="118" t="inlineStr">
        <is>
          <t>door_replacement</t>
        </is>
      </c>
      <c r="D223" s="118" t="inlineStr">
        <is>
          <t>목공사</t>
        </is>
      </c>
      <c r="E223" s="118" t="inlineStr">
        <is>
          <t>무문선 목공 추가비</t>
        </is>
      </c>
      <c r="F223" s="118" t="inlineStr">
        <is>
          <t>현장시공</t>
        </is>
      </c>
      <c r="G223" s="118" t="inlineStr">
        <is>
          <t>무문선 매입 보강</t>
        </is>
      </c>
      <c r="H223" s="118" t="inlineStr">
        <is>
          <t>무문선 도어 시공 시 추가 목공 마감.</t>
        </is>
      </c>
      <c r="I223" s="118" t="inlineStr">
        <is>
          <t>단일등급, 주력</t>
        </is>
      </c>
      <c r="J223" s="118" t="inlineStr">
        <is>
          <t>per_ea</t>
        </is>
      </c>
      <c r="K223" s="118" t="n">
        <v>20000</v>
      </c>
      <c r="L223" s="118" t="n">
        <v>30000</v>
      </c>
      <c r="M223" s="118">
        <f>K223+L223</f>
        <v/>
      </c>
      <c r="N223" s="118" t="inlineStr">
        <is>
          <t>시장정보 (2026-05, 적극추정)</t>
        </is>
      </c>
      <c r="O223" s="118" t="inlineStr">
        <is>
          <t>2026-05</t>
        </is>
      </c>
      <c r="P223" s="118" t="inlineStr">
        <is>
          <t>operator</t>
        </is>
      </c>
      <c r="X223" s="118" t="inlineStr">
        <is>
          <t>무문선 선택 시 개소당 추가. 5만/EA.</t>
        </is>
      </c>
      <c r="Y223" s="129">
        <f>LEFT(I223,FIND(",",I223&amp;",")-1)</f>
        <v/>
      </c>
      <c r="Z223" s="118">
        <f>C223&amp;"|"&amp;Y223</f>
        <v/>
      </c>
      <c r="AA223" s="118">
        <f>E223&amp;"|"&amp;Y223</f>
        <v/>
      </c>
    </row>
    <row r="224" ht="15" customHeight="1" s="95">
      <c r="A224" s="118" t="inlineStr">
        <is>
          <t>MAT-NL-002</t>
        </is>
      </c>
      <c r="B224" s="118" t="inlineStr">
        <is>
          <t>active</t>
        </is>
      </c>
      <c r="C224" s="118" t="inlineStr">
        <is>
          <t>door_replacement</t>
        </is>
      </c>
      <c r="D224" s="118" t="inlineStr">
        <is>
          <t>도배</t>
        </is>
      </c>
      <c r="E224" s="118" t="inlineStr">
        <is>
          <t>무문선 도배 추가비</t>
        </is>
      </c>
      <c r="F224" s="118" t="inlineStr">
        <is>
          <t>현장시공</t>
        </is>
      </c>
      <c r="G224" s="118" t="inlineStr">
        <is>
          <t>무문선 마감 도배</t>
        </is>
      </c>
      <c r="H224" s="118" t="inlineStr">
        <is>
          <t>무문선 도어 주변 도배 정밀 마감.</t>
        </is>
      </c>
      <c r="I224" s="118" t="inlineStr">
        <is>
          <t>단일등급, 주력</t>
        </is>
      </c>
      <c r="J224" s="118" t="inlineStr">
        <is>
          <t>per_ea</t>
        </is>
      </c>
      <c r="K224" s="118" t="n">
        <v>15000</v>
      </c>
      <c r="L224" s="118" t="n">
        <v>35000</v>
      </c>
      <c r="M224" s="118">
        <f>K224+L224</f>
        <v/>
      </c>
      <c r="N224" s="118" t="inlineStr">
        <is>
          <t>시장정보 (2026-05, 적극추정)</t>
        </is>
      </c>
      <c r="O224" s="118" t="inlineStr">
        <is>
          <t>2026-05</t>
        </is>
      </c>
      <c r="P224" s="118" t="inlineStr">
        <is>
          <t>operator</t>
        </is>
      </c>
      <c r="X224" s="118" t="inlineStr">
        <is>
          <t>무문선 선택 시 개소당 추가. 5만/EA.</t>
        </is>
      </c>
      <c r="Y224" s="129">
        <f>LEFT(I224,FIND(",",I224&amp;",")-1)</f>
        <v/>
      </c>
      <c r="Z224" s="118">
        <f>C224&amp;"|"&amp;Y224</f>
        <v/>
      </c>
      <c r="AA224" s="118">
        <f>E224&amp;"|"&amp;Y224</f>
        <v/>
      </c>
    </row>
    <row r="225" ht="16.25" customHeight="1" s="95">
      <c r="A225" s="130" t="inlineStr">
        <is>
          <t>MAT-PH-001</t>
        </is>
      </c>
      <c r="B225" s="130" t="inlineStr">
        <is>
          <t>active</t>
        </is>
      </c>
      <c r="C225" s="130" t="inlineStr">
        <is>
          <t>plumbing_heating</t>
        </is>
      </c>
      <c r="D225" s="94" t="inlineStr">
        <is>
          <t>설비</t>
        </is>
      </c>
      <c r="E225" s="94" t="inlineStr">
        <is>
          <t>난방배관 교체</t>
        </is>
      </c>
      <c r="F225" s="94" t="inlineStr">
        <is>
          <t>현장시공</t>
        </is>
      </c>
      <c r="G225" s="94" t="inlineStr">
        <is>
          <t>엑셀파이프 전체 교체</t>
        </is>
      </c>
      <c r="H225" s="94" t="inlineStr">
        <is>
          <t>난방 엑셀파이프 + 분배기 연결부 전체 교체. 공급면적 평당 산정.</t>
        </is>
      </c>
      <c r="I225" s="94" t="inlineStr">
        <is>
          <t>단일등급, 주력</t>
        </is>
      </c>
      <c r="J225" s="94" t="inlineStr">
        <is>
          <t>평</t>
        </is>
      </c>
      <c r="K225" s="94" t="n">
        <v>200000</v>
      </c>
      <c r="L225" s="94" t="n">
        <v>100000</v>
      </c>
      <c r="M225" s="94">
        <f>K225+L225</f>
        <v/>
      </c>
      <c r="N225" s="94" t="inlineStr">
        <is>
          <t>시장정보 (2026-05)</t>
        </is>
      </c>
      <c r="O225" s="130" t="inlineStr">
        <is>
          <t>2026-05</t>
        </is>
      </c>
      <c r="P225" s="130" t="inlineStr">
        <is>
          <t>operator</t>
        </is>
      </c>
      <c r="X225" s="94" t="inlineStr">
        <is>
          <t>난방배관 노후 교체. 공급평 × 30만원. 철거 시 함께 진행 권장.</t>
        </is>
      </c>
      <c r="Y225" s="94">
        <f>LEFT(I225,FIND(",",I225&amp;",")-1)</f>
        <v/>
      </c>
      <c r="Z225" s="94">
        <f>C225&amp;"|"&amp;Y225</f>
        <v/>
      </c>
      <c r="AA225" s="94">
        <f>E225&amp;"|"&amp;Y225</f>
        <v/>
      </c>
    </row>
  </sheetData>
  <autoFilter ref="A1:AA19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9.17" customWidth="1" style="94" min="2" max="2"/>
    <col width="12.84" customWidth="1" style="94" min="3" max="4"/>
    <col width="9.17" customWidth="1" style="94" min="5" max="5"/>
    <col width="12.84" customWidth="1" style="94" min="6" max="7"/>
    <col width="9.17" customWidth="1" style="94" min="8" max="8"/>
    <col width="12.84" customWidth="1" style="94" min="9" max="10"/>
    <col width="9.17" customWidth="1" style="94" min="11" max="11"/>
    <col width="12.84" customWidth="1" style="94" min="12" max="14"/>
  </cols>
  <sheetData>
    <row r="1" ht="18.65" customHeight="1" s="95">
      <c r="A1" s="96" t="inlineStr">
        <is>
          <t>▣ 평형DB 시나리오 — 자재마스터 연동 자동 산출 (24/34/44평 × 가성비/표준/고급)</t>
        </is>
      </c>
    </row>
    <row r="2" ht="13.25" customHeight="1" s="95">
      <c r="A2" s="129" t="inlineStr">
        <is>
          <t>평형(B4/E4/H4) 변경 시 수량 자동 갱신. 자재마스터 단가 변경 시 합계 자동 반영. 가정: 3베이.</t>
        </is>
      </c>
    </row>
    <row r="4" ht="15" customHeight="1" s="95">
      <c r="A4" s="118" t="inlineStr">
        <is>
          <t>[평형 입력]</t>
        </is>
      </c>
      <c r="B4" s="118" t="n">
        <v>24</v>
      </c>
      <c r="E4" s="118" t="n">
        <v>34</v>
      </c>
      <c r="H4" s="118" t="n">
        <v>44</v>
      </c>
      <c r="K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  <c r="E5" s="118">
        <f>INT(E4/10)*10</f>
        <v/>
      </c>
      <c r="H5" s="118">
        <f>INT(H4/10)*10</f>
        <v/>
      </c>
    </row>
    <row r="6" ht="15" customHeight="1" s="95">
      <c r="A6" s="118" t="inlineStr">
        <is>
          <t>ratio</t>
        </is>
      </c>
      <c r="B6" s="118">
        <f>(B4-B5)/10</f>
        <v/>
      </c>
      <c r="E6" s="118">
        <f>(E4-E5)/10</f>
        <v/>
      </c>
      <c r="H6" s="118">
        <f>(H4-H5)/10</f>
        <v/>
      </c>
    </row>
    <row r="7" ht="15" customHeight="1" s="95">
      <c r="A7" s="118" t="inlineStr">
        <is>
          <t>lower col idx</t>
        </is>
      </c>
      <c r="B7" s="118">
        <f>B5/10</f>
        <v/>
      </c>
      <c r="E7" s="118">
        <f>E5/10</f>
        <v/>
      </c>
      <c r="H7" s="118">
        <f>H5/10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  <c r="E8" s="118">
        <f>E4*3.31*0.75</f>
        <v/>
      </c>
      <c r="H8" s="118">
        <f>H4*3.31*0.75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  <c r="E9" s="118">
        <f>E4*3.31</f>
        <v/>
      </c>
      <c r="H9" s="118">
        <f>H4*3.31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  <c r="E10" s="129">
        <f>INDEX(표준면적!$B$11:$G$11,1,E7)+(INDEX(표준면적!$B$11:$G$11,1,E7+1)-INDEX(표준면적!$B$11:$G$11,1,E7))*E6</f>
        <v/>
      </c>
      <c r="H10" s="129">
        <f>INDEX(표준면적!$B$11:$G$11,1,H7)+(INDEX(표준면적!$B$11:$G$11,1,H7+1)-INDEX(표준면적!$B$11:$G$11,1,H7))*H6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  <c r="E11" s="129">
        <f>INDEX(표준면적!$B$3:$G$10,1,E7)+(INDEX(표준면적!$B$3:$G$10,1,E7+1)-INDEX(표준면적!$B$3:$G$10,1,E7))*E6</f>
        <v/>
      </c>
      <c r="H11" s="129">
        <f>INDEX(표준면적!$B$3:$G$10,1,H7)+(INDEX(표준면적!$B$3:$G$10,1,H7+1)-INDEX(표준면적!$B$3:$G$10,1,H7))*H6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  <c r="E12" s="129">
        <f>INDEX(표준면적!$B$3:$G$10,2,E7)+(INDEX(표준면적!$B$3:$G$10,2,E7+1)-INDEX(표준면적!$B$3:$G$10,2,E7))*E6</f>
        <v/>
      </c>
      <c r="H12" s="129">
        <f>INDEX(표준면적!$B$3:$G$10,2,H7)+(INDEX(표준면적!$B$3:$G$10,2,H7+1)-INDEX(표준면적!$B$3:$G$10,2,H7))*H6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  <c r="E13" s="129">
        <f>INDEX(표준면적!$B$3:$G$10,3,E7)+(INDEX(표준면적!$B$3:$G$10,3,E7+1)-INDEX(표준면적!$B$3:$G$10,3,E7))*E6</f>
        <v/>
      </c>
      <c r="H13" s="129">
        <f>INDEX(표준면적!$B$3:$G$10,3,H7)+(INDEX(표준면적!$B$3:$G$10,3,H7+1)-INDEX(표준면적!$B$3:$G$10,3,H7))*H6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  <c r="E14" s="129">
        <f>INDEX(표준면적!$B$3:$G$10,4,E7)+(INDEX(표준면적!$B$3:$G$10,4,E7+1)-INDEX(표준면적!$B$3:$G$10,4,E7))*E6</f>
        <v/>
      </c>
      <c r="H14" s="129">
        <f>INDEX(표준면적!$B$3:$G$10,4,H7)+(INDEX(표준면적!$B$3:$G$10,4,H7+1)-INDEX(표준면적!$B$3:$G$10,4,H7))*H6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  <c r="E15" s="129">
        <f>INDEX(표준면적!$B$3:$G$10,5,E7)+(INDEX(표준면적!$B$3:$G$10,5,E7+1)-INDEX(표준면적!$B$3:$G$10,5,E7))*E6</f>
        <v/>
      </c>
      <c r="H15" s="129">
        <f>INDEX(표준면적!$B$3:$G$10,5,H7)+(INDEX(표준면적!$B$3:$G$10,5,H7+1)-INDEX(표준면적!$B$3:$G$10,5,H7))*H6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  <c r="E16" s="129">
        <f>INDEX(표준면적!$B$3:$G$10,6,E7)+(INDEX(표준면적!$B$3:$G$10,6,E7+1)-INDEX(표준면적!$B$3:$G$10,6,E7))*E6</f>
        <v/>
      </c>
      <c r="H16" s="129">
        <f>INDEX(표준면적!$B$3:$G$10,6,H7)+(INDEX(표준면적!$B$3:$G$10,6,H7+1)-INDEX(표준면적!$B$3:$G$10,6,H7))*H6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  <c r="E17" s="129">
        <f>INDEX(표준면적!$B$3:$G$10,7,E7)+(INDEX(표준면적!$B$3:$G$10,7,E7+1)-INDEX(표준면적!$B$3:$G$10,7,E7))*E6</f>
        <v/>
      </c>
      <c r="H17" s="129">
        <f>INDEX(표준면적!$B$3:$G$10,7,H7)+(INDEX(표준면적!$B$3:$G$10,7,H7+1)-INDEX(표준면적!$B$3:$G$10,7,H7))*H6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  <c r="E18" s="129">
        <f>SQRT(E11)*3.4+SQRT(E12)*3.4+SQRT(E13)*3.4+SQRT(E14)*3.4+SQRT(E15)*3.4</f>
        <v/>
      </c>
      <c r="H18" s="129">
        <f>SQRT(H11)*3.4+SQRT(H12)*3.4+SQRT(H13)*3.4+SQRT(H14)*3.4+SQRT(H15)*3.4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  <c r="E19" s="118">
        <f>E11+E12+E13+E14+E15</f>
        <v/>
      </c>
      <c r="H19" s="118">
        <f>H11+H12+H13+H14+H15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  <c r="E20" s="118">
        <f>E19*2.8</f>
        <v/>
      </c>
      <c r="H20" s="118">
        <f>H19*2.8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  <c r="E21" s="118">
        <f>E16+E17</f>
        <v/>
      </c>
      <c r="H21" s="118">
        <f>H16+H17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  <c r="E22" s="129">
        <f>SQRT(E16)*3.4+SQRT(E17)*3.4</f>
        <v/>
      </c>
      <c r="H22" s="129">
        <f>SQRT(H16)*3.4+SQRT(H17)*3.4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  <c r="E23" s="129">
        <f>INDEX(표준면적!$B$27:$G$27,1,E7)+(INDEX(표준면적!$B$27:$G$27,1,E7+1)-INDEX(표준면적!$B$27:$G$27,1,E7))*E6</f>
        <v/>
      </c>
      <c r="H23" s="129">
        <f>INDEX(표준면적!$B$27:$G$27,1,H7)+(INDEX(표준면적!$B$27:$G$27,1,H7+1)-INDEX(표준면적!$B$27:$G$27,1,H7))*H6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  <c r="E24" s="129">
        <f>INDEX(표준면적!$B$29:$G$29,1,E7)+(INDEX(표준면적!$B$29:$G$29,1,E7+1)-INDEX(표준면적!$B$29:$G$29,1,E7))*E6</f>
        <v/>
      </c>
      <c r="H24" s="129">
        <f>INDEX(표준면적!$B$29:$G$29,1,H7)+(INDEX(표준면적!$B$29:$G$29,1,H7+1)-INDEX(표준면적!$B$29:$G$29,1,H7))*H6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  <c r="E25" s="129">
        <f>INDEX(표준면적!$B$28:$G$28,1,E7)+(INDEX(표준면적!$B$28:$G$28,1,E7+1)-INDEX(표준면적!$B$28:$G$28,1,E7))*E6</f>
        <v/>
      </c>
      <c r="H25" s="129">
        <f>INDEX(표준면적!$B$28:$G$28,1,H7)+(INDEX(표준면적!$B$28:$G$28,1,H7+1)-INDEX(표준면적!$B$28:$G$28,1,H7))*H6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  <c r="E26" s="129">
        <f>INDEX(표준면적!$B$30:$G$30,1,E7)+(INDEX(표준면적!$B$30:$G$30,1,E7+1)-INDEX(표준면적!$B$30:$G$30,1,E7))*E6</f>
        <v/>
      </c>
      <c r="H26" s="129">
        <f>INDEX(표준면적!$B$30:$G$30,1,H7)+(INDEX(표준면적!$B$30:$G$30,1,H7+1)-INDEX(표준면적!$B$30:$G$30,1,H7))*H6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  <c r="E27" s="129">
        <f>(SQRT(E11)*1+SQRT(E14)*0.9+SQRT(E15)*0.85+SQRT(E12)*0.85)*1.5</f>
        <v/>
      </c>
      <c r="H27" s="129">
        <f>(SQRT(H11)*1+SQRT(H14)*0.9+SQRT(H15)*0.85+SQRT(H12)*0.85)*1.5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  <c r="E28" s="129">
        <f>(SQRT(E11)*1+SQRT(E13)*1+SQRT(E14)*0.9+SQRT(E15)*0.85+SQRT(E12)*0.85)*1.5</f>
        <v/>
      </c>
      <c r="H28" s="129">
        <f>(SQRT(H11)*1+SQRT(H13)*1+SQRT(H14)*0.9+SQRT(H15)*0.85+SQRT(H12)*0.85)*1.5</f>
        <v/>
      </c>
    </row>
    <row r="29" ht="15" customHeight="1" s="95">
      <c r="A29" s="118" t="inlineStr">
        <is>
          <t>외부창 확장부 비율</t>
        </is>
      </c>
      <c r="B29" s="118">
        <f>B27/B28</f>
        <v/>
      </c>
      <c r="E29" s="118">
        <f>E27/E28</f>
        <v/>
      </c>
      <c r="H29" s="118">
        <f>H27/H28</f>
        <v/>
      </c>
    </row>
    <row r="30" ht="15" customHeight="1" s="95">
      <c r="A30" s="118" t="inlineStr">
        <is>
          <t>스위치/콘센트 (ea)</t>
        </is>
      </c>
      <c r="B30" s="129">
        <f>IF(B4&lt;15,18,IF(B4&lt;25,24,IF(B4&lt;35,34,IF(B4&lt;45,42,IF(B4&lt;55,50,56)))))</f>
        <v/>
      </c>
      <c r="E30" s="129">
        <f>IF(E4&lt;15,18,IF(E4&lt;25,24,IF(E4&lt;35,34,IF(E4&lt;45,42,IF(E4&lt;55,50,56)))))</f>
        <v/>
      </c>
      <c r="H30" s="129">
        <f>IF(H4&lt;15,18,IF(H4&lt;25,24,IF(H4&lt;35,34,IF(H4&lt;45,42,IF(H4&lt;55,50,56)))))</f>
        <v/>
      </c>
    </row>
    <row r="31" ht="15" customHeight="1" s="95">
      <c r="A31" s="118" t="inlineStr">
        <is>
          <t>붙박이장 합 m</t>
        </is>
      </c>
      <c r="B31" s="129">
        <f>IF(B4&gt;=40,2.4*3,IF(B4&gt;=30,2.4+2*2,2+2*1.8))</f>
        <v/>
      </c>
      <c r="E31" s="129">
        <f>IF(E4&gt;=40,2.4*3,IF(E4&gt;=30,2.4+2*2,2+2*1.8))</f>
        <v/>
      </c>
      <c r="H31" s="129">
        <f>IF(H4&gt;=40,2.4*3,IF(H4&gt;=30,2.4+2*2,2+2*1.8))</f>
        <v/>
      </c>
    </row>
    <row r="32" ht="15" customHeight="1" s="95">
      <c r="A32" s="118" t="inlineStr">
        <is>
          <t>타일팀 일수</t>
        </is>
      </c>
      <c r="B32" s="129">
        <f>IF(B4&lt;30,2,IF(B4&lt;50,3,4))+1</f>
        <v/>
      </c>
      <c r="E32" s="129">
        <f>IF(E4&lt;30,2,IF(E4&lt;50,3,4))+1</f>
        <v/>
      </c>
      <c r="H32" s="129">
        <f>IF(H4&lt;30,2,IF(H4&lt;50,3,4))+1</f>
        <v/>
      </c>
    </row>
    <row r="33" ht="15" customHeight="1" s="95">
      <c r="A33" s="118" t="inlineStr">
        <is>
          <t>다운라이트 (ea)</t>
        </is>
      </c>
      <c r="B33" s="118">
        <f>ROUND(B4/2.5,0)</f>
        <v/>
      </c>
      <c r="E33" s="118">
        <f>ROUND(E4/2.5,0)</f>
        <v/>
      </c>
      <c r="H33" s="118">
        <f>ROUND(H4/2.5,0)</f>
        <v/>
      </c>
    </row>
    <row r="34" ht="15" customHeight="1" s="95">
      <c r="A34" s="118" t="inlineStr">
        <is>
          <t>난방온도조절기 (대)</t>
        </is>
      </c>
      <c r="B34" s="129">
        <f>IF(B4&lt;20,2,IF(B4&lt;30,3,IF(B4&lt;40,4,5)))</f>
        <v/>
      </c>
      <c r="E34" s="129">
        <f>IF(E4&lt;20,2,IF(E4&lt;30,3,IF(E4&lt;40,4,5)))</f>
        <v/>
      </c>
      <c r="H34" s="129">
        <f>IF(H4&lt;20,2,IF(H4&lt;30,3,IF(H4&lt;40,4,5)))</f>
        <v/>
      </c>
    </row>
    <row r="36" ht="15" customHeight="1" s="95">
      <c r="C36" s="118" t="inlineStr">
        <is>
          <t>── 24평 ──</t>
        </is>
      </c>
      <c r="G36" s="118" t="inlineStr">
        <is>
          <t>── 34평 ──</t>
        </is>
      </c>
      <c r="K36" s="118" t="inlineStr">
        <is>
          <t>── 44평 ──</t>
        </is>
      </c>
    </row>
    <row r="37" ht="15" customHeight="1" s="95">
      <c r="A37" s="114" t="inlineStr">
        <is>
          <t>공사 카테고리</t>
        </is>
      </c>
      <c r="B37" s="114" t="inlineStr">
        <is>
          <t>단위</t>
        </is>
      </c>
      <c r="C37" s="114" t="inlineStr">
        <is>
          <t>수량</t>
        </is>
      </c>
      <c r="D37" s="114" t="inlineStr">
        <is>
          <t>가성비(원)</t>
        </is>
      </c>
      <c r="E37" s="114" t="inlineStr">
        <is>
          <t>표준(원)</t>
        </is>
      </c>
      <c r="F37" s="114" t="inlineStr">
        <is>
          <t>고급(원)</t>
        </is>
      </c>
      <c r="G37" s="114" t="inlineStr">
        <is>
          <t>수량</t>
        </is>
      </c>
      <c r="H37" s="114" t="inlineStr">
        <is>
          <t>가성비(원)</t>
        </is>
      </c>
      <c r="I37" s="114" t="inlineStr">
        <is>
          <t>표준(원)</t>
        </is>
      </c>
      <c r="J37" s="114" t="inlineStr">
        <is>
          <t>고급(원)</t>
        </is>
      </c>
      <c r="K37" s="114" t="inlineStr">
        <is>
          <t>수량</t>
        </is>
      </c>
      <c r="L37" s="114" t="inlineStr">
        <is>
          <t>가성비(원)</t>
        </is>
      </c>
      <c r="M37" s="114" t="inlineStr">
        <is>
          <t>표준(원)</t>
        </is>
      </c>
      <c r="N37" s="114" t="inlineStr">
        <is>
          <t>고급(원)</t>
        </is>
      </c>
    </row>
    <row r="38" ht="15" customHeight="1" s="95">
      <c r="A38" s="114" t="inlineStr">
        <is>
          <t>철거공사</t>
        </is>
      </c>
      <c r="B38" s="114" t="inlineStr">
        <is>
          <t>㎡</t>
        </is>
      </c>
      <c r="C38" s="114">
        <f>B8</f>
        <v/>
      </c>
      <c r="D38" s="162">
        <f>IFERROR(C38*INDEX(자재마스터!$M:$M,MATCH("철거|가성비",자재마스터!$AA:$AA,0)),0)</f>
        <v/>
      </c>
      <c r="E38" s="162">
        <f>IFERROR(C38*INDEX(자재마스터!$M:$M,MATCH("철거|표준",자재마스터!$AA:$AA,0)),0)</f>
        <v/>
      </c>
      <c r="F38" s="162">
        <f>IFERROR(C38*INDEX(자재마스터!$M:$M,MATCH("철거|고급",자재마스터!$AA:$AA,0)),0)</f>
        <v/>
      </c>
      <c r="G38" s="114">
        <f>E8</f>
        <v/>
      </c>
      <c r="H38" s="162">
        <f>IFERROR(G38*INDEX(자재마스터!$M:$M,MATCH("철거|가성비",자재마스터!$AA:$AA,0)),0)</f>
        <v/>
      </c>
      <c r="I38" s="162">
        <f>IFERROR(G38*INDEX(자재마스터!$M:$M,MATCH("철거|표준",자재마스터!$AA:$AA,0)),0)</f>
        <v/>
      </c>
      <c r="J38" s="162">
        <f>IFERROR(G38*INDEX(자재마스터!$M:$M,MATCH("철거|고급",자재마스터!$AA:$AA,0)),0)</f>
        <v/>
      </c>
      <c r="K38" s="114">
        <f>H8</f>
        <v/>
      </c>
      <c r="L38" s="162">
        <f>IFERROR(K38*INDEX(자재마스터!$M:$M,MATCH("철거|가성비",자재마스터!$AA:$AA,0)),0)</f>
        <v/>
      </c>
      <c r="M38" s="162">
        <f>IFERROR(K38*INDEX(자재마스터!$M:$M,MATCH("철거|표준",자재마스터!$AA:$AA,0)),0)</f>
        <v/>
      </c>
      <c r="N38" s="162">
        <f>IFERROR(K38*INDEX(자재마스터!$M:$M,MATCH("철거|고급",자재마스터!$AA:$AA,0)),0)</f>
        <v/>
      </c>
    </row>
    <row r="39" ht="15" customHeight="1" s="95">
      <c r="A39" s="114" t="inlineStr">
        <is>
          <t>단열공사</t>
        </is>
      </c>
      <c r="B39" s="114" t="inlineStr">
        <is>
          <t>㎡</t>
        </is>
      </c>
      <c r="C39" s="114">
        <f>B8</f>
        <v/>
      </c>
      <c r="D39" s="162">
        <f>IFERROR(C39*INDEX(자재마스터!$M:$M,MATCH("insulation|가성비",자재마스터!$Z:$Z,0)),0)</f>
        <v/>
      </c>
      <c r="E39" s="162">
        <f>IFERROR(C39*INDEX(자재마스터!$M:$M,MATCH("insulation|표준",자재마스터!$Z:$Z,0)),0)</f>
        <v/>
      </c>
      <c r="F39" s="162">
        <f>IFERROR(C39*INDEX(자재마스터!$M:$M,MATCH("insulation|고급",자재마스터!$Z:$Z,0)),0)</f>
        <v/>
      </c>
      <c r="G39" s="114">
        <f>E8</f>
        <v/>
      </c>
      <c r="H39" s="162">
        <f>IFERROR(G39*INDEX(자재마스터!$M:$M,MATCH("insulation|가성비",자재마스터!$Z:$Z,0)),0)</f>
        <v/>
      </c>
      <c r="I39" s="162">
        <f>IFERROR(G39*INDEX(자재마스터!$M:$M,MATCH("insulation|표준",자재마스터!$Z:$Z,0)),0)</f>
        <v/>
      </c>
      <c r="J39" s="162">
        <f>IFERROR(G39*INDEX(자재마스터!$M:$M,MATCH("insulation|고급",자재마스터!$Z:$Z,0)),0)</f>
        <v/>
      </c>
      <c r="K39" s="114">
        <f>H8</f>
        <v/>
      </c>
      <c r="L39" s="162">
        <f>IFERROR(K39*INDEX(자재마스터!$M:$M,MATCH("insulation|가성비",자재마스터!$Z:$Z,0)),0)</f>
        <v/>
      </c>
      <c r="M39" s="162">
        <f>IFERROR(K39*INDEX(자재마스터!$M:$M,MATCH("insulation|표준",자재마스터!$Z:$Z,0)),0)</f>
        <v/>
      </c>
      <c r="N39" s="162">
        <f>IFERROR(K39*INDEX(자재마스터!$M:$M,MATCH("insulation|고급",자재마스터!$Z:$Z,0)),0)</f>
        <v/>
      </c>
    </row>
    <row r="40" ht="15" customHeight="1" s="95">
      <c r="A40" s="114" t="inlineStr">
        <is>
          <t>샷시 비확장부</t>
        </is>
      </c>
      <c r="B40" s="114" t="inlineStr">
        <is>
          <t>㎡</t>
        </is>
      </c>
      <c r="C40" s="114">
        <f>B10*(1-B29)</f>
        <v/>
      </c>
      <c r="D40" s="162">
        <f>IFERROR(C40*INDEX(자재마스터!$M:$M,MATCH("window|가성비",자재마스터!$Z:$Z,0)),0)</f>
        <v/>
      </c>
      <c r="E40" s="162">
        <f>IFERROR(C40*INDEX(자재마스터!$M:$M,MATCH("window|표준",자재마스터!$Z:$Z,0)),0)</f>
        <v/>
      </c>
      <c r="F40" s="162">
        <f>IFERROR(C40*INDEX(자재마스터!$M:$M,MATCH("window|고급",자재마스터!$Z:$Z,0)),0)</f>
        <v/>
      </c>
      <c r="G40" s="114">
        <f>E10*(1-E29)</f>
        <v/>
      </c>
      <c r="H40" s="162">
        <f>IFERROR(G40*INDEX(자재마스터!$M:$M,MATCH("window|가성비",자재마스터!$Z:$Z,0)),0)</f>
        <v/>
      </c>
      <c r="I40" s="162">
        <f>IFERROR(G40*INDEX(자재마스터!$M:$M,MATCH("window|표준",자재마스터!$Z:$Z,0)),0)</f>
        <v/>
      </c>
      <c r="J40" s="162">
        <f>IFERROR(G40*INDEX(자재마스터!$M:$M,MATCH("window|고급",자재마스터!$Z:$Z,0)),0)</f>
        <v/>
      </c>
      <c r="K40" s="114">
        <f>H10*(1-H29)</f>
        <v/>
      </c>
      <c r="L40" s="162">
        <f>IFERROR(K40*INDEX(자재마스터!$M:$M,MATCH("window|가성비",자재마스터!$Z:$Z,0)),0)</f>
        <v/>
      </c>
      <c r="M40" s="162">
        <f>IFERROR(K40*INDEX(자재마스터!$M:$M,MATCH("window|표준",자재마스터!$Z:$Z,0)),0)</f>
        <v/>
      </c>
      <c r="N40" s="162">
        <f>IFERROR(K40*INDEX(자재마스터!$M:$M,MATCH("window|고급",자재마스터!$Z:$Z,0)),0)</f>
        <v/>
      </c>
    </row>
    <row r="41" ht="15" customHeight="1" s="95">
      <c r="A41" s="114" t="inlineStr">
        <is>
          <t>샷시 확장부 자동</t>
        </is>
      </c>
      <c r="B41" s="114" t="inlineStr">
        <is>
          <t>㎡</t>
        </is>
      </c>
      <c r="C41" s="114">
        <f>B10*B29</f>
        <v/>
      </c>
      <c r="D41" s="162">
        <f>IFERROR(C41*INDEX(자재마스터!$M:$M,MATCH("window|가성비",자재마스터!$Z:$Z,0)),0)</f>
        <v/>
      </c>
      <c r="E41" s="162">
        <f>IFERROR(C41*INDEX(자재마스터!$M:$M,MATCH("window|표준",자재마스터!$Z:$Z,0)),0)</f>
        <v/>
      </c>
      <c r="F41" s="162">
        <f>IFERROR(C41*INDEX(자재마스터!$M:$M,MATCH("window|고급",자재마스터!$Z:$Z,0)),0)</f>
        <v/>
      </c>
      <c r="G41" s="114">
        <f>E10*E29</f>
        <v/>
      </c>
      <c r="H41" s="162">
        <f>IFERROR(G41*INDEX(자재마스터!$M:$M,MATCH("window|가성비",자재마스터!$Z:$Z,0)),0)</f>
        <v/>
      </c>
      <c r="I41" s="162">
        <f>IFERROR(G41*INDEX(자재마스터!$M:$M,MATCH("window|표준",자재마스터!$Z:$Z,0)),0)</f>
        <v/>
      </c>
      <c r="J41" s="162">
        <f>IFERROR(G41*INDEX(자재마스터!$M:$M,MATCH("window|고급",자재마스터!$Z:$Z,0)),0)</f>
        <v/>
      </c>
      <c r="K41" s="114">
        <f>H10*H29</f>
        <v/>
      </c>
      <c r="L41" s="162">
        <f>IFERROR(K41*INDEX(자재마스터!$M:$M,MATCH("window|가성비",자재마스터!$Z:$Z,0)),0)</f>
        <v/>
      </c>
      <c r="M41" s="162">
        <f>IFERROR(K41*INDEX(자재마스터!$M:$M,MATCH("window|표준",자재마스터!$Z:$Z,0)),0)</f>
        <v/>
      </c>
      <c r="N41" s="162">
        <f>IFERROR(K41*INDEX(자재마스터!$M:$M,MATCH("window|고급",자재마스터!$Z:$Z,0)),0)</f>
        <v/>
      </c>
    </row>
    <row r="42" ht="15" customHeight="1" s="95">
      <c r="A42" s="114" t="inlineStr">
        <is>
          <t>바닥재</t>
        </is>
      </c>
      <c r="B42" s="114" t="inlineStr">
        <is>
          <t>㎡</t>
        </is>
      </c>
      <c r="C42" s="114">
        <f>B19</f>
        <v/>
      </c>
      <c r="D42" s="162">
        <f>IFERROR(C42*INDEX(자재마스터!$M:$M,MATCH("flooring|가성비",자재마스터!$Z:$Z,0)),0)</f>
        <v/>
      </c>
      <c r="E42" s="162">
        <f>IFERROR(C42*INDEX(자재마스터!$M:$M,MATCH("flooring|표준",자재마스터!$Z:$Z,0)),0)</f>
        <v/>
      </c>
      <c r="F42" s="162">
        <f>IFERROR(C42*INDEX(자재마스터!$M:$M,MATCH("flooring|고급",자재마스터!$Z:$Z,0)),0)</f>
        <v/>
      </c>
      <c r="G42" s="114">
        <f>E19</f>
        <v/>
      </c>
      <c r="H42" s="162">
        <f>IFERROR(G42*INDEX(자재마스터!$M:$M,MATCH("flooring|가성비",자재마스터!$Z:$Z,0)),0)</f>
        <v/>
      </c>
      <c r="I42" s="162">
        <f>IFERROR(G42*INDEX(자재마스터!$M:$M,MATCH("flooring|표준",자재마스터!$Z:$Z,0)),0)</f>
        <v/>
      </c>
      <c r="J42" s="162">
        <f>IFERROR(G42*INDEX(자재마스터!$M:$M,MATCH("flooring|고급",자재마스터!$Z:$Z,0)),0)</f>
        <v/>
      </c>
      <c r="K42" s="114">
        <f>H19</f>
        <v/>
      </c>
      <c r="L42" s="162">
        <f>IFERROR(K42*INDEX(자재마스터!$M:$M,MATCH("flooring|가성비",자재마스터!$Z:$Z,0)),0)</f>
        <v/>
      </c>
      <c r="M42" s="162">
        <f>IFERROR(K42*INDEX(자재마스터!$M:$M,MATCH("flooring|표준",자재마스터!$Z:$Z,0)),0)</f>
        <v/>
      </c>
      <c r="N42" s="162">
        <f>IFERROR(K42*INDEX(자재마스터!$M:$M,MATCH("flooring|고급",자재마스터!$Z:$Z,0)),0)</f>
        <v/>
      </c>
    </row>
    <row r="43" ht="15" customHeight="1" s="95">
      <c r="A43" s="114" t="inlineStr">
        <is>
          <t>도배</t>
        </is>
      </c>
      <c r="B43" s="114" t="inlineStr">
        <is>
          <t>㎡</t>
        </is>
      </c>
      <c r="C43" s="114">
        <f>B20</f>
        <v/>
      </c>
      <c r="D43" s="162">
        <f>IFERROR(C43*INDEX(자재마스터!$M:$M,MATCH("wallpaper|가성비",자재마스터!$Z:$Z,0)),0)</f>
        <v/>
      </c>
      <c r="E43" s="162">
        <f>IFERROR(C43*INDEX(자재마스터!$M:$M,MATCH("wallpaper|표준",자재마스터!$Z:$Z,0)),0)</f>
        <v/>
      </c>
      <c r="F43" s="162">
        <f>IFERROR(C43*INDEX(자재마스터!$M:$M,MATCH("wallpaper|고급",자재마스터!$Z:$Z,0)),0)</f>
        <v/>
      </c>
      <c r="G43" s="114">
        <f>E20</f>
        <v/>
      </c>
      <c r="H43" s="162">
        <f>IFERROR(G43*INDEX(자재마스터!$M:$M,MATCH("wallpaper|가성비",자재마스터!$Z:$Z,0)),0)</f>
        <v/>
      </c>
      <c r="I43" s="162">
        <f>IFERROR(G43*INDEX(자재마스터!$M:$M,MATCH("wallpaper|표준",자재마스터!$Z:$Z,0)),0)</f>
        <v/>
      </c>
      <c r="J43" s="162">
        <f>IFERROR(G43*INDEX(자재마스터!$M:$M,MATCH("wallpaper|고급",자재마스터!$Z:$Z,0)),0)</f>
        <v/>
      </c>
      <c r="K43" s="114">
        <f>H20</f>
        <v/>
      </c>
      <c r="L43" s="162">
        <f>IFERROR(K43*INDEX(자재마스터!$M:$M,MATCH("wallpaper|가성비",자재마스터!$Z:$Z,0)),0)</f>
        <v/>
      </c>
      <c r="M43" s="162">
        <f>IFERROR(K43*INDEX(자재마스터!$M:$M,MATCH("wallpaper|표준",자재마스터!$Z:$Z,0)),0)</f>
        <v/>
      </c>
      <c r="N43" s="162">
        <f>IFERROR(K43*INDEX(자재마스터!$M:$M,MATCH("wallpaper|고급",자재마스터!$Z:$Z,0)),0)</f>
        <v/>
      </c>
    </row>
    <row r="44" ht="15" customHeight="1" s="95">
      <c r="A44" s="114" t="inlineStr">
        <is>
          <t>몰딩</t>
        </is>
      </c>
      <c r="B44" s="114" t="inlineStr">
        <is>
          <t>m</t>
        </is>
      </c>
      <c r="C44" s="114">
        <f>B18</f>
        <v/>
      </c>
      <c r="D44" s="162">
        <f>IFERROR(C44*INDEX(자재마스터!$M:$M,MATCH("molding|가성비",자재마스터!$Z:$Z,0)),0)</f>
        <v/>
      </c>
      <c r="E44" s="162">
        <f>IFERROR(C44*INDEX(자재마스터!$M:$M,MATCH("molding|표준",자재마스터!$Z:$Z,0)),0)</f>
        <v/>
      </c>
      <c r="F44" s="162">
        <f>IFERROR(C44*INDEX(자재마스터!$M:$M,MATCH("molding|고급",자재마스터!$Z:$Z,0)),0)</f>
        <v/>
      </c>
      <c r="G44" s="114">
        <f>E18</f>
        <v/>
      </c>
      <c r="H44" s="162">
        <f>IFERROR(G44*INDEX(자재마스터!$M:$M,MATCH("molding|가성비",자재마스터!$Z:$Z,0)),0)</f>
        <v/>
      </c>
      <c r="I44" s="162">
        <f>IFERROR(G44*INDEX(자재마스터!$M:$M,MATCH("molding|표준",자재마스터!$Z:$Z,0)),0)</f>
        <v/>
      </c>
      <c r="J44" s="162">
        <f>IFERROR(G44*INDEX(자재마스터!$M:$M,MATCH("molding|고급",자재마스터!$Z:$Z,0)),0)</f>
        <v/>
      </c>
      <c r="K44" s="114">
        <f>H18</f>
        <v/>
      </c>
      <c r="L44" s="162">
        <f>IFERROR(K44*INDEX(자재마스터!$M:$M,MATCH("molding|가성비",자재마스터!$Z:$Z,0)),0)</f>
        <v/>
      </c>
      <c r="M44" s="162">
        <f>IFERROR(K44*INDEX(자재마스터!$M:$M,MATCH("molding|표준",자재마스터!$Z:$Z,0)),0)</f>
        <v/>
      </c>
      <c r="N44" s="162">
        <f>IFERROR(K44*INDEX(자재마스터!$M:$M,MATCH("molding|고급",자재마스터!$Z:$Z,0)),0)</f>
        <v/>
      </c>
    </row>
    <row r="45" ht="15" customHeight="1" s="95">
      <c r="A45" s="114" t="inlineStr">
        <is>
          <t>걸레받이</t>
        </is>
      </c>
      <c r="B45" s="114" t="inlineStr">
        <is>
          <t>㎡</t>
        </is>
      </c>
      <c r="C45" s="114">
        <f>B9</f>
        <v/>
      </c>
      <c r="D45" s="162">
        <f>IFERROR(C45*INDEX(자재마스터!$M:$M,MATCH("baseboard|가성비",자재마스터!$Z:$Z,0)),0)</f>
        <v/>
      </c>
      <c r="E45" s="162">
        <f>IFERROR(C45*INDEX(자재마스터!$M:$M,MATCH("baseboard|표준",자재마스터!$Z:$Z,0)),0)</f>
        <v/>
      </c>
      <c r="F45" s="162">
        <f>IFERROR(C45*INDEX(자재마스터!$M:$M,MATCH("baseboard|고급",자재마스터!$Z:$Z,0)),0)</f>
        <v/>
      </c>
      <c r="G45" s="114">
        <f>E9</f>
        <v/>
      </c>
      <c r="H45" s="162">
        <f>IFERROR(G45*INDEX(자재마스터!$M:$M,MATCH("baseboard|가성비",자재마스터!$Z:$Z,0)),0)</f>
        <v/>
      </c>
      <c r="I45" s="162">
        <f>IFERROR(G45*INDEX(자재마스터!$M:$M,MATCH("baseboard|표준",자재마스터!$Z:$Z,0)),0)</f>
        <v/>
      </c>
      <c r="J45" s="162">
        <f>IFERROR(G45*INDEX(자재마스터!$M:$M,MATCH("baseboard|고급",자재마스터!$Z:$Z,0)),0)</f>
        <v/>
      </c>
      <c r="K45" s="114">
        <f>H9</f>
        <v/>
      </c>
      <c r="L45" s="162">
        <f>IFERROR(K45*INDEX(자재마스터!$M:$M,MATCH("baseboard|가성비",자재마스터!$Z:$Z,0)),0)</f>
        <v/>
      </c>
      <c r="M45" s="162">
        <f>IFERROR(K45*INDEX(자재마스터!$M:$M,MATCH("baseboard|표준",자재마스터!$Z:$Z,0)),0)</f>
        <v/>
      </c>
      <c r="N45" s="162">
        <f>IFERROR(K45*INDEX(자재마스터!$M:$M,MATCH("baseboard|고급",자재마스터!$Z:$Z,0)),0)</f>
        <v/>
      </c>
    </row>
    <row r="46" ht="15" customHeight="1" s="95">
      <c r="A46" s="114" t="inlineStr">
        <is>
          <t>욕실 설치비</t>
        </is>
      </c>
      <c r="B46" s="114" t="inlineStr">
        <is>
          <t>ea</t>
        </is>
      </c>
      <c r="C46" s="114">
        <f>2</f>
        <v/>
      </c>
      <c r="D46" s="162">
        <f>IFERROR(C46*INDEX(자재마스터!$M:$M,MATCH("bath_install|가성비",자재마스터!$Z:$Z,0)),0)</f>
        <v/>
      </c>
      <c r="E46" s="162">
        <f>IFERROR(C46*INDEX(자재마스터!$M:$M,MATCH("bath_install|표준",자재마스터!$Z:$Z,0)),0)</f>
        <v/>
      </c>
      <c r="F46" s="162">
        <f>IFERROR(C46*INDEX(자재마스터!$M:$M,MATCH("bath_install|고급",자재마스터!$Z:$Z,0)),0)</f>
        <v/>
      </c>
      <c r="G46" s="114">
        <f>2</f>
        <v/>
      </c>
      <c r="H46" s="162">
        <f>IFERROR(G46*INDEX(자재마스터!$M:$M,MATCH("bath_install|가성비",자재마스터!$Z:$Z,0)),0)</f>
        <v/>
      </c>
      <c r="I46" s="162">
        <f>IFERROR(G46*INDEX(자재마스터!$M:$M,MATCH("bath_install|표준",자재마스터!$Z:$Z,0)),0)</f>
        <v/>
      </c>
      <c r="J46" s="162">
        <f>IFERROR(G46*INDEX(자재마스터!$M:$M,MATCH("bath_install|고급",자재마스터!$Z:$Z,0)),0)</f>
        <v/>
      </c>
      <c r="K46" s="114">
        <f>2</f>
        <v/>
      </c>
      <c r="L46" s="162">
        <f>IFERROR(K46*INDEX(자재마스터!$M:$M,MATCH("bath_install|가성비",자재마스터!$Z:$Z,0)),0)</f>
        <v/>
      </c>
      <c r="M46" s="162">
        <f>IFERROR(K46*INDEX(자재마스터!$M:$M,MATCH("bath_install|표준",자재마스터!$Z:$Z,0)),0)</f>
        <v/>
      </c>
      <c r="N46" s="162">
        <f>IFERROR(K46*INDEX(자재마스터!$M:$M,MATCH("bath_install|고급",자재마스터!$Z:$Z,0)),0)</f>
        <v/>
      </c>
    </row>
    <row r="47" ht="15" customHeight="1" s="95">
      <c r="A47" s="114" t="inlineStr">
        <is>
          <t>타일 시공팀</t>
        </is>
      </c>
      <c r="B47" s="114" t="inlineStr">
        <is>
          <t>팀일</t>
        </is>
      </c>
      <c r="C47" s="114">
        <f>B32</f>
        <v/>
      </c>
      <c r="D47" s="162">
        <f>IFERROR(C47*INDEX(자재마스터!$M:$M,MATCH("tile_labor|가성비",자재마스터!$Z:$Z,0)),0)</f>
        <v/>
      </c>
      <c r="E47" s="162">
        <f>IFERROR(C47*INDEX(자재마스터!$M:$M,MATCH("tile_labor|표준",자재마스터!$Z:$Z,0)),0)</f>
        <v/>
      </c>
      <c r="F47" s="162">
        <f>IFERROR(C47*INDEX(자재마스터!$M:$M,MATCH("tile_labor|고급",자재마스터!$Z:$Z,0)),0)</f>
        <v/>
      </c>
      <c r="G47" s="114">
        <f>E32</f>
        <v/>
      </c>
      <c r="H47" s="162">
        <f>IFERROR(G47*INDEX(자재마스터!$M:$M,MATCH("tile_labor|가성비",자재마스터!$Z:$Z,0)),0)</f>
        <v/>
      </c>
      <c r="I47" s="162">
        <f>IFERROR(G47*INDEX(자재마스터!$M:$M,MATCH("tile_labor|표준",자재마스터!$Z:$Z,0)),0)</f>
        <v/>
      </c>
      <c r="J47" s="162">
        <f>IFERROR(G47*INDEX(자재마스터!$M:$M,MATCH("tile_labor|고급",자재마스터!$Z:$Z,0)),0)</f>
        <v/>
      </c>
      <c r="K47" s="114">
        <f>H32</f>
        <v/>
      </c>
      <c r="L47" s="162">
        <f>IFERROR(K47*INDEX(자재마스터!$M:$M,MATCH("tile_labor|가성비",자재마스터!$Z:$Z,0)),0)</f>
        <v/>
      </c>
      <c r="M47" s="162">
        <f>IFERROR(K47*INDEX(자재마스터!$M:$M,MATCH("tile_labor|표준",자재마스터!$Z:$Z,0)),0)</f>
        <v/>
      </c>
      <c r="N47" s="162">
        <f>IFERROR(K47*INDEX(자재마스터!$M:$M,MATCH("tile_labor|고급",자재마스터!$Z:$Z,0)),0)</f>
        <v/>
      </c>
    </row>
    <row r="48" ht="15" customHeight="1" s="95">
      <c r="A48" s="114" t="inlineStr">
        <is>
          <t>중문</t>
        </is>
      </c>
      <c r="B48" s="114" t="inlineStr">
        <is>
          <t>ea</t>
        </is>
      </c>
      <c r="C48" s="114">
        <f>1</f>
        <v/>
      </c>
      <c r="D48" s="162">
        <f>IFERROR(C48*INDEX(자재마스터!$M:$M,MATCH("sliding_door|가성비",자재마스터!$Z:$Z,0)),0)</f>
        <v/>
      </c>
      <c r="E48" s="162">
        <f>IFERROR(C48*INDEX(자재마스터!$M:$M,MATCH("sliding_door|표준",자재마스터!$Z:$Z,0)),0)</f>
        <v/>
      </c>
      <c r="F48" s="162">
        <f>IFERROR(C48*INDEX(자재마스터!$M:$M,MATCH("sliding_door|고급",자재마스터!$Z:$Z,0)),0)</f>
        <v/>
      </c>
      <c r="G48" s="114">
        <f>1</f>
        <v/>
      </c>
      <c r="H48" s="162">
        <f>IFERROR(G48*INDEX(자재마스터!$M:$M,MATCH("sliding_door|가성비",자재마스터!$Z:$Z,0)),0)</f>
        <v/>
      </c>
      <c r="I48" s="162">
        <f>IFERROR(G48*INDEX(자재마스터!$M:$M,MATCH("sliding_door|표준",자재마스터!$Z:$Z,0)),0)</f>
        <v/>
      </c>
      <c r="J48" s="162">
        <f>IFERROR(G48*INDEX(자재마스터!$M:$M,MATCH("sliding_door|고급",자재마스터!$Z:$Z,0)),0)</f>
        <v/>
      </c>
      <c r="K48" s="114">
        <f>1</f>
        <v/>
      </c>
      <c r="L48" s="162">
        <f>IFERROR(K48*INDEX(자재마스터!$M:$M,MATCH("sliding_door|가성비",자재마스터!$Z:$Z,0)),0)</f>
        <v/>
      </c>
      <c r="M48" s="162">
        <f>IFERROR(K48*INDEX(자재마스터!$M:$M,MATCH("sliding_door|표준",자재마스터!$Z:$Z,0)),0)</f>
        <v/>
      </c>
      <c r="N48" s="162">
        <f>IFERROR(K48*INDEX(자재마스터!$M:$M,MATCH("sliding_door|고급",자재마스터!$Z:$Z,0)),0)</f>
        <v/>
      </c>
    </row>
    <row r="49" ht="15" customHeight="1" s="95">
      <c r="A49" s="114" t="inlineStr">
        <is>
          <t>일반가구</t>
        </is>
      </c>
      <c r="B49" s="114" t="inlineStr">
        <is>
          <t>ea</t>
        </is>
      </c>
      <c r="C49" s="114">
        <f>1</f>
        <v/>
      </c>
      <c r="D49" s="162">
        <f>IFERROR(C49*INDEX(자재마스터!$M:$M,MATCH("general_furniture|가성비",자재마스터!$Z:$Z,0)),0)</f>
        <v/>
      </c>
      <c r="E49" s="162">
        <f>IFERROR(C49*INDEX(자재마스터!$M:$M,MATCH("general_furniture|표준",자재마스터!$Z:$Z,0)),0)</f>
        <v/>
      </c>
      <c r="F49" s="162">
        <f>IFERROR(C49*INDEX(자재마스터!$M:$M,MATCH("general_furniture|고급",자재마스터!$Z:$Z,0)),0)</f>
        <v/>
      </c>
      <c r="G49" s="114">
        <f>1</f>
        <v/>
      </c>
      <c r="H49" s="162">
        <f>IFERROR(G49*INDEX(자재마스터!$M:$M,MATCH("general_furniture|가성비",자재마스터!$Z:$Z,0)),0)</f>
        <v/>
      </c>
      <c r="I49" s="162">
        <f>IFERROR(G49*INDEX(자재마스터!$M:$M,MATCH("general_furniture|표준",자재마스터!$Z:$Z,0)),0)</f>
        <v/>
      </c>
      <c r="J49" s="162">
        <f>IFERROR(G49*INDEX(자재마스터!$M:$M,MATCH("general_furniture|고급",자재마스터!$Z:$Z,0)),0)</f>
        <v/>
      </c>
      <c r="K49" s="114">
        <f>1</f>
        <v/>
      </c>
      <c r="L49" s="162">
        <f>IFERROR(K49*INDEX(자재마스터!$M:$M,MATCH("general_furniture|가성비",자재마스터!$Z:$Z,0)),0)</f>
        <v/>
      </c>
      <c r="M49" s="162">
        <f>IFERROR(K49*INDEX(자재마스터!$M:$M,MATCH("general_furniture|표준",자재마스터!$Z:$Z,0)),0)</f>
        <v/>
      </c>
      <c r="N49" s="162">
        <f>IFERROR(K49*INDEX(자재마스터!$M:$M,MATCH("general_furniture|고급",자재마스터!$Z:$Z,0)),0)</f>
        <v/>
      </c>
    </row>
    <row r="50" ht="15" customHeight="1" s="95">
      <c r="A50" s="114" t="inlineStr">
        <is>
          <t>붙박이장</t>
        </is>
      </c>
      <c r="B50" s="114" t="inlineStr">
        <is>
          <t>m</t>
        </is>
      </c>
      <c r="C50" s="114">
        <f>B31</f>
        <v/>
      </c>
      <c r="D50" s="162">
        <f>IFERROR(C50*INDEX(자재마스터!$M:$M,MATCH("closet|가성비",자재마스터!$Z:$Z,0)),0)</f>
        <v/>
      </c>
      <c r="E50" s="162">
        <f>IFERROR(C50*INDEX(자재마스터!$M:$M,MATCH("closet|표준",자재마스터!$Z:$Z,0)),0)</f>
        <v/>
      </c>
      <c r="F50" s="162">
        <f>IFERROR(C50*INDEX(자재마스터!$M:$M,MATCH("closet|고급",자재마스터!$Z:$Z,0)),0)</f>
        <v/>
      </c>
      <c r="G50" s="114">
        <f>E31</f>
        <v/>
      </c>
      <c r="H50" s="162">
        <f>IFERROR(G50*INDEX(자재마스터!$M:$M,MATCH("closet|가성비",자재마스터!$Z:$Z,0)),0)</f>
        <v/>
      </c>
      <c r="I50" s="162">
        <f>IFERROR(G50*INDEX(자재마스터!$M:$M,MATCH("closet|표준",자재마스터!$Z:$Z,0)),0)</f>
        <v/>
      </c>
      <c r="J50" s="162">
        <f>IFERROR(G50*INDEX(자재마스터!$M:$M,MATCH("closet|고급",자재마스터!$Z:$Z,0)),0)</f>
        <v/>
      </c>
      <c r="K50" s="114">
        <f>H31</f>
        <v/>
      </c>
      <c r="L50" s="162">
        <f>IFERROR(K50*INDEX(자재마스터!$M:$M,MATCH("closet|가성비",자재마스터!$Z:$Z,0)),0)</f>
        <v/>
      </c>
      <c r="M50" s="162">
        <f>IFERROR(K50*INDEX(자재마스터!$M:$M,MATCH("closet|표준",자재마스터!$Z:$Z,0)),0)</f>
        <v/>
      </c>
      <c r="N50" s="162">
        <f>IFERROR(K50*INDEX(자재마스터!$M:$M,MATCH("closet|고급",자재마스터!$Z:$Z,0)),0)</f>
        <v/>
      </c>
    </row>
    <row r="51" ht="15" customHeight="1" s="95">
      <c r="A51" s="114" t="inlineStr">
        <is>
          <t>전기 기본공사</t>
        </is>
      </c>
      <c r="B51" s="114" t="inlineStr">
        <is>
          <t>㎡</t>
        </is>
      </c>
      <c r="C51" s="114">
        <f>B9</f>
        <v/>
      </c>
      <c r="D51" s="162">
        <f>IFERROR(C51*INDEX(자재마스터!$M:$M,MATCH("electrical_base|가성비",자재마스터!$Z:$Z,0)),0)</f>
        <v/>
      </c>
      <c r="E51" s="162">
        <f>IFERROR(C51*INDEX(자재마스터!$M:$M,MATCH("electrical_base|표준",자재마스터!$Z:$Z,0)),0)</f>
        <v/>
      </c>
      <c r="F51" s="162">
        <f>IFERROR(C51*INDEX(자재마스터!$M:$M,MATCH("electrical_base|고급",자재마스터!$Z:$Z,0)),0)</f>
        <v/>
      </c>
      <c r="G51" s="114">
        <f>E9</f>
        <v/>
      </c>
      <c r="H51" s="162">
        <f>IFERROR(G51*INDEX(자재마스터!$M:$M,MATCH("electrical_base|가성비",자재마스터!$Z:$Z,0)),0)</f>
        <v/>
      </c>
      <c r="I51" s="162">
        <f>IFERROR(G51*INDEX(자재마스터!$M:$M,MATCH("electrical_base|표준",자재마스터!$Z:$Z,0)),0)</f>
        <v/>
      </c>
      <c r="J51" s="162">
        <f>IFERROR(G51*INDEX(자재마스터!$M:$M,MATCH("electrical_base|고급",자재마스터!$Z:$Z,0)),0)</f>
        <v/>
      </c>
      <c r="K51" s="114">
        <f>H9</f>
        <v/>
      </c>
      <c r="L51" s="162">
        <f>IFERROR(K51*INDEX(자재마스터!$M:$M,MATCH("electrical_base|가성비",자재마스터!$Z:$Z,0)),0)</f>
        <v/>
      </c>
      <c r="M51" s="162">
        <f>IFERROR(K51*INDEX(자재마스터!$M:$M,MATCH("electrical_base|표준",자재마스터!$Z:$Z,0)),0)</f>
        <v/>
      </c>
      <c r="N51" s="162">
        <f>IFERROR(K51*INDEX(자재마스터!$M:$M,MATCH("electrical_base|고급",자재마스터!$Z:$Z,0)),0)</f>
        <v/>
      </c>
    </row>
    <row r="52" ht="15" customHeight="1" s="95">
      <c r="A52" s="114" t="inlineStr">
        <is>
          <t>스위치/콘센트</t>
        </is>
      </c>
      <c r="B52" s="114" t="inlineStr">
        <is>
          <t>ea</t>
        </is>
      </c>
      <c r="C52" s="114">
        <f>B30</f>
        <v/>
      </c>
      <c r="D52" s="162">
        <f>IFERROR(C52*INDEX(자재마스터!$M:$M,MATCH("electrical_switch|가성비",자재마스터!$Z:$Z,0)),0)</f>
        <v/>
      </c>
      <c r="E52" s="162">
        <f>IFERROR(C52*INDEX(자재마스터!$M:$M,MATCH("electrical_switch|표준",자재마스터!$Z:$Z,0)),0)</f>
        <v/>
      </c>
      <c r="F52" s="162">
        <f>IFERROR(C52*INDEX(자재마스터!$M:$M,MATCH("electrical_switch|고급",자재마스터!$Z:$Z,0)),0)</f>
        <v/>
      </c>
      <c r="G52" s="114">
        <f>E30</f>
        <v/>
      </c>
      <c r="H52" s="162">
        <f>IFERROR(G52*INDEX(자재마스터!$M:$M,MATCH("electrical_switch|가성비",자재마스터!$Z:$Z,0)),0)</f>
        <v/>
      </c>
      <c r="I52" s="162">
        <f>IFERROR(G52*INDEX(자재마스터!$M:$M,MATCH("electrical_switch|표준",자재마스터!$Z:$Z,0)),0)</f>
        <v/>
      </c>
      <c r="J52" s="162">
        <f>IFERROR(G52*INDEX(자재마스터!$M:$M,MATCH("electrical_switch|고급",자재마스터!$Z:$Z,0)),0)</f>
        <v/>
      </c>
      <c r="K52" s="114">
        <f>H30</f>
        <v/>
      </c>
      <c r="L52" s="162">
        <f>IFERROR(K52*INDEX(자재마스터!$M:$M,MATCH("electrical_switch|가성비",자재마스터!$Z:$Z,0)),0)</f>
        <v/>
      </c>
      <c r="M52" s="162">
        <f>IFERROR(K52*INDEX(자재마스터!$M:$M,MATCH("electrical_switch|표준",자재마스터!$Z:$Z,0)),0)</f>
        <v/>
      </c>
      <c r="N52" s="162">
        <f>IFERROR(K52*INDEX(자재마스터!$M:$M,MATCH("electrical_switch|고급",자재마스터!$Z:$Z,0)),0)</f>
        <v/>
      </c>
    </row>
    <row r="53" ht="15" customHeight="1" s="95">
      <c r="A53" s="114" t="inlineStr">
        <is>
          <t>인덕션 전용선</t>
        </is>
      </c>
      <c r="B53" s="114" t="inlineStr">
        <is>
          <t>ea</t>
        </is>
      </c>
      <c r="C53" s="114">
        <f>1</f>
        <v/>
      </c>
      <c r="D53" s="162">
        <f>IFERROR(C53*INDEX(자재마스터!$M:$M,MATCH("induction_line|가성비",자재마스터!$Z:$Z,0)),0)</f>
        <v/>
      </c>
      <c r="E53" s="162">
        <f>IFERROR(C53*INDEX(자재마스터!$M:$M,MATCH("induction_line|표준",자재마스터!$Z:$Z,0)),0)</f>
        <v/>
      </c>
      <c r="F53" s="162">
        <f>IFERROR(C53*INDEX(자재마스터!$M:$M,MATCH("induction_line|고급",자재마스터!$Z:$Z,0)),0)</f>
        <v/>
      </c>
      <c r="G53" s="114">
        <f>1</f>
        <v/>
      </c>
      <c r="H53" s="162">
        <f>IFERROR(G53*INDEX(자재마스터!$M:$M,MATCH("induction_line|가성비",자재마스터!$Z:$Z,0)),0)</f>
        <v/>
      </c>
      <c r="I53" s="162">
        <f>IFERROR(G53*INDEX(자재마스터!$M:$M,MATCH("induction_line|표준",자재마스터!$Z:$Z,0)),0)</f>
        <v/>
      </c>
      <c r="J53" s="162">
        <f>IFERROR(G53*INDEX(자재마스터!$M:$M,MATCH("induction_line|고급",자재마스터!$Z:$Z,0)),0)</f>
        <v/>
      </c>
      <c r="K53" s="114">
        <f>1</f>
        <v/>
      </c>
      <c r="L53" s="162">
        <f>IFERROR(K53*INDEX(자재마스터!$M:$M,MATCH("induction_line|가성비",자재마스터!$Z:$Z,0)),0)</f>
        <v/>
      </c>
      <c r="M53" s="162">
        <f>IFERROR(K53*INDEX(자재마스터!$M:$M,MATCH("induction_line|표준",자재마스터!$Z:$Z,0)),0)</f>
        <v/>
      </c>
      <c r="N53" s="162">
        <f>IFERROR(K53*INDEX(자재마스터!$M:$M,MATCH("induction_line|고급",자재마스터!$Z:$Z,0)),0)</f>
        <v/>
      </c>
    </row>
    <row r="54" ht="15" customHeight="1" s="95">
      <c r="A54" s="114" t="inlineStr">
        <is>
          <t>설비 기본공사</t>
        </is>
      </c>
      <c r="B54" s="114" t="inlineStr">
        <is>
          <t>㎡</t>
        </is>
      </c>
      <c r="C54" s="114">
        <f>B9</f>
        <v/>
      </c>
      <c r="D54" s="162">
        <f>IFERROR(C54*INDEX(자재마스터!$M:$M,MATCH("plumbing_base|가성비",자재마스터!$Z:$Z,0)),0)</f>
        <v/>
      </c>
      <c r="E54" s="162">
        <f>IFERROR(C54*INDEX(자재마스터!$M:$M,MATCH("plumbing_base|표준",자재마스터!$Z:$Z,0)),0)</f>
        <v/>
      </c>
      <c r="F54" s="162">
        <f>IFERROR(C54*INDEX(자재마스터!$M:$M,MATCH("plumbing_base|고급",자재마스터!$Z:$Z,0)),0)</f>
        <v/>
      </c>
      <c r="G54" s="114">
        <f>E9</f>
        <v/>
      </c>
      <c r="H54" s="162">
        <f>IFERROR(G54*INDEX(자재마스터!$M:$M,MATCH("plumbing_base|가성비",자재마스터!$Z:$Z,0)),0)</f>
        <v/>
      </c>
      <c r="I54" s="162">
        <f>IFERROR(G54*INDEX(자재마스터!$M:$M,MATCH("plumbing_base|표준",자재마스터!$Z:$Z,0)),0)</f>
        <v/>
      </c>
      <c r="J54" s="162">
        <f>IFERROR(G54*INDEX(자재마스터!$M:$M,MATCH("plumbing_base|고급",자재마스터!$Z:$Z,0)),0)</f>
        <v/>
      </c>
      <c r="K54" s="114">
        <f>H9</f>
        <v/>
      </c>
      <c r="L54" s="162">
        <f>IFERROR(K54*INDEX(자재마스터!$M:$M,MATCH("plumbing_base|가성비",자재마스터!$Z:$Z,0)),0)</f>
        <v/>
      </c>
      <c r="M54" s="162">
        <f>IFERROR(K54*INDEX(자재마스터!$M:$M,MATCH("plumbing_base|표준",자재마스터!$Z:$Z,0)),0)</f>
        <v/>
      </c>
      <c r="N54" s="162">
        <f>IFERROR(K54*INDEX(자재마스터!$M:$M,MATCH("plumbing_base|고급",자재마스터!$Z:$Z,0)),0)</f>
        <v/>
      </c>
    </row>
    <row r="55" ht="15" customHeight="1" s="95">
      <c r="A55" s="114" t="inlineStr">
        <is>
          <t>분배기 교체</t>
        </is>
      </c>
      <c r="B55" s="114" t="inlineStr">
        <is>
          <t>set</t>
        </is>
      </c>
      <c r="C55" s="114">
        <f>1</f>
        <v/>
      </c>
      <c r="D55" s="162">
        <f>IFERROR(C55*INDEX(자재마스터!$M:$M,MATCH("distribution_panel|가성비",자재마스터!$Z:$Z,0)),0)</f>
        <v/>
      </c>
      <c r="E55" s="162">
        <f>IFERROR(C55*INDEX(자재마스터!$M:$M,MATCH("distribution_panel|표준",자재마스터!$Z:$Z,0)),0)</f>
        <v/>
      </c>
      <c r="F55" s="162">
        <f>IFERROR(C55*INDEX(자재마스터!$M:$M,MATCH("distribution_panel|고급",자재마스터!$Z:$Z,0)),0)</f>
        <v/>
      </c>
      <c r="G55" s="114">
        <f>1</f>
        <v/>
      </c>
      <c r="H55" s="162">
        <f>IFERROR(G55*INDEX(자재마스터!$M:$M,MATCH("distribution_panel|가성비",자재마스터!$Z:$Z,0)),0)</f>
        <v/>
      </c>
      <c r="I55" s="162">
        <f>IFERROR(G55*INDEX(자재마스터!$M:$M,MATCH("distribution_panel|표준",자재마스터!$Z:$Z,0)),0)</f>
        <v/>
      </c>
      <c r="J55" s="162">
        <f>IFERROR(G55*INDEX(자재마스터!$M:$M,MATCH("distribution_panel|고급",자재마스터!$Z:$Z,0)),0)</f>
        <v/>
      </c>
      <c r="K55" s="114">
        <f>1</f>
        <v/>
      </c>
      <c r="L55" s="162">
        <f>IFERROR(K55*INDEX(자재마스터!$M:$M,MATCH("distribution_panel|가성비",자재마스터!$Z:$Z,0)),0)</f>
        <v/>
      </c>
      <c r="M55" s="162">
        <f>IFERROR(K55*INDEX(자재마스터!$M:$M,MATCH("distribution_panel|표준",자재마스터!$Z:$Z,0)),0)</f>
        <v/>
      </c>
      <c r="N55" s="162">
        <f>IFERROR(K55*INDEX(자재마스터!$M:$M,MATCH("distribution_panel|고급",자재마스터!$Z:$Z,0)),0)</f>
        <v/>
      </c>
    </row>
    <row r="56" ht="15" customHeight="1" s="95">
      <c r="A56" s="114" t="inlineStr">
        <is>
          <t>배관 변경</t>
        </is>
      </c>
      <c r="B56" s="114" t="inlineStr">
        <is>
          <t>set</t>
        </is>
      </c>
      <c r="C56" s="114">
        <f>1</f>
        <v/>
      </c>
      <c r="D56" s="162">
        <f>IFERROR(C56*INDEX(자재마스터!$M:$M,MATCH("plumbing_relocation|가성비",자재마스터!$Z:$Z,0)),0)</f>
        <v/>
      </c>
      <c r="E56" s="162">
        <f>IFERROR(C56*INDEX(자재마스터!$M:$M,MATCH("plumbing_relocation|표준",자재마스터!$Z:$Z,0)),0)</f>
        <v/>
      </c>
      <c r="F56" s="162">
        <f>IFERROR(C56*INDEX(자재마스터!$M:$M,MATCH("plumbing_relocation|고급",자재마스터!$Z:$Z,0)),0)</f>
        <v/>
      </c>
      <c r="G56" s="114">
        <f>1</f>
        <v/>
      </c>
      <c r="H56" s="162">
        <f>IFERROR(G56*INDEX(자재마스터!$M:$M,MATCH("plumbing_relocation|가성비",자재마스터!$Z:$Z,0)),0)</f>
        <v/>
      </c>
      <c r="I56" s="162">
        <f>IFERROR(G56*INDEX(자재마스터!$M:$M,MATCH("plumbing_relocation|표준",자재마스터!$Z:$Z,0)),0)</f>
        <v/>
      </c>
      <c r="J56" s="162">
        <f>IFERROR(G56*INDEX(자재마스터!$M:$M,MATCH("plumbing_relocation|고급",자재마스터!$Z:$Z,0)),0)</f>
        <v/>
      </c>
      <c r="K56" s="114">
        <f>1</f>
        <v/>
      </c>
      <c r="L56" s="162">
        <f>IFERROR(K56*INDEX(자재마스터!$M:$M,MATCH("plumbing_relocation|가성비",자재마스터!$Z:$Z,0)),0)</f>
        <v/>
      </c>
      <c r="M56" s="162">
        <f>IFERROR(K56*INDEX(자재마스터!$M:$M,MATCH("plumbing_relocation|표준",자재마스터!$Z:$Z,0)),0)</f>
        <v/>
      </c>
      <c r="N56" s="162">
        <f>IFERROR(K56*INDEX(자재마스터!$M:$M,MATCH("plumbing_relocation|고급",자재마스터!$Z:$Z,0)),0)</f>
        <v/>
      </c>
    </row>
    <row r="57" ht="15" customHeight="1" s="95">
      <c r="A57" s="114" t="inlineStr">
        <is>
          <t>난방온도조절기</t>
        </is>
      </c>
      <c r="B57" s="114" t="inlineStr">
        <is>
          <t>대</t>
        </is>
      </c>
      <c r="C57" s="114">
        <f>B34</f>
        <v/>
      </c>
      <c r="D57" s="162">
        <f>IFERROR(C57*INDEX(자재마스터!$M:$M,MATCH("thermostat|가성비",자재마스터!$Z:$Z,0)),0)</f>
        <v/>
      </c>
      <c r="E57" s="162">
        <f>IFERROR(C57*INDEX(자재마스터!$M:$M,MATCH("thermostat|표준",자재마스터!$Z:$Z,0)),0)</f>
        <v/>
      </c>
      <c r="F57" s="162">
        <f>IFERROR(C57*INDEX(자재마스터!$M:$M,MATCH("thermostat|고급",자재마스터!$Z:$Z,0)),0)</f>
        <v/>
      </c>
      <c r="G57" s="114">
        <f>E34</f>
        <v/>
      </c>
      <c r="H57" s="162">
        <f>IFERROR(G57*INDEX(자재마스터!$M:$M,MATCH("thermostat|가성비",자재마스터!$Z:$Z,0)),0)</f>
        <v/>
      </c>
      <c r="I57" s="162">
        <f>IFERROR(G57*INDEX(자재마스터!$M:$M,MATCH("thermostat|표준",자재마스터!$Z:$Z,0)),0)</f>
        <v/>
      </c>
      <c r="J57" s="162">
        <f>IFERROR(G57*INDEX(자재마스터!$M:$M,MATCH("thermostat|고급",자재마스터!$Z:$Z,0)),0)</f>
        <v/>
      </c>
      <c r="K57" s="114">
        <f>H34</f>
        <v/>
      </c>
      <c r="L57" s="162">
        <f>IFERROR(K57*INDEX(자재마스터!$M:$M,MATCH("thermostat|가성비",자재마스터!$Z:$Z,0)),0)</f>
        <v/>
      </c>
      <c r="M57" s="162">
        <f>IFERROR(K57*INDEX(자재마스터!$M:$M,MATCH("thermostat|표준",자재마스터!$Z:$Z,0)),0)</f>
        <v/>
      </c>
      <c r="N57" s="162">
        <f>IFERROR(K57*INDEX(자재마스터!$M:$M,MATCH("thermostat|고급",자재마스터!$Z:$Z,0)),0)</f>
        <v/>
      </c>
    </row>
    <row r="58" ht="15" customHeight="1" s="95">
      <c r="A58" s="114" t="inlineStr">
        <is>
          <t>시스템에어컨</t>
        </is>
      </c>
      <c r="B58" s="114" t="inlineStr">
        <is>
          <t>대</t>
        </is>
      </c>
      <c r="C58" s="114">
        <f>3</f>
        <v/>
      </c>
      <c r="D58" s="162">
        <f>IFERROR(C58*INDEX(자재마스터!$M:$M,MATCH("aircon|가성비",자재마스터!$Z:$Z,0)),0)</f>
        <v/>
      </c>
      <c r="E58" s="162">
        <f>IFERROR(C58*INDEX(자재마스터!$M:$M,MATCH("aircon|표준",자재마스터!$Z:$Z,0)),0)</f>
        <v/>
      </c>
      <c r="F58" s="162">
        <f>IFERROR(C58*INDEX(자재마스터!$M:$M,MATCH("aircon|고급",자재마스터!$Z:$Z,0)),0)</f>
        <v/>
      </c>
      <c r="G58" s="114">
        <f>3</f>
        <v/>
      </c>
      <c r="H58" s="162">
        <f>IFERROR(G58*INDEX(자재마스터!$M:$M,MATCH("aircon|가성비",자재마스터!$Z:$Z,0)),0)</f>
        <v/>
      </c>
      <c r="I58" s="162">
        <f>IFERROR(G58*INDEX(자재마스터!$M:$M,MATCH("aircon|표준",자재마스터!$Z:$Z,0)),0)</f>
        <v/>
      </c>
      <c r="J58" s="162">
        <f>IFERROR(G58*INDEX(자재마스터!$M:$M,MATCH("aircon|고급",자재마스터!$Z:$Z,0)),0)</f>
        <v/>
      </c>
      <c r="K58" s="114">
        <f>3</f>
        <v/>
      </c>
      <c r="L58" s="162">
        <f>IFERROR(K58*INDEX(자재마스터!$M:$M,MATCH("aircon|가성비",자재마스터!$Z:$Z,0)),0)</f>
        <v/>
      </c>
      <c r="M58" s="162">
        <f>IFERROR(K58*INDEX(자재마스터!$M:$M,MATCH("aircon|표준",자재마스터!$Z:$Z,0)),0)</f>
        <v/>
      </c>
      <c r="N58" s="162">
        <f>IFERROR(K58*INDEX(자재마스터!$M:$M,MATCH("aircon|고급",자재마스터!$Z:$Z,0)),0)</f>
        <v/>
      </c>
    </row>
    <row r="59" ht="15" customHeight="1" s="95">
      <c r="A59" s="114" t="inlineStr">
        <is>
          <t>에어컨 실외기</t>
        </is>
      </c>
      <c r="B59" s="114" t="inlineStr">
        <is>
          <t>ea</t>
        </is>
      </c>
      <c r="C59" s="114">
        <f>1</f>
        <v/>
      </c>
      <c r="D59" s="162">
        <f>IFERROR(C59*INDEX(자재마스터!$M:$M,MATCH("aircon_outdoor|가성비",자재마스터!$Z:$Z,0)),0)</f>
        <v/>
      </c>
      <c r="E59" s="162">
        <f>IFERROR(C59*INDEX(자재마스터!$M:$M,MATCH("aircon_outdoor|표준",자재마스터!$Z:$Z,0)),0)</f>
        <v/>
      </c>
      <c r="F59" s="162">
        <f>IFERROR(C59*INDEX(자재마스터!$M:$M,MATCH("aircon_outdoor|고급",자재마스터!$Z:$Z,0)),0)</f>
        <v/>
      </c>
      <c r="G59" s="114">
        <f>1</f>
        <v/>
      </c>
      <c r="H59" s="162">
        <f>IFERROR(G59*INDEX(자재마스터!$M:$M,MATCH("aircon_outdoor|가성비",자재마스터!$Z:$Z,0)),0)</f>
        <v/>
      </c>
      <c r="I59" s="162">
        <f>IFERROR(G59*INDEX(자재마스터!$M:$M,MATCH("aircon_outdoor|표준",자재마스터!$Z:$Z,0)),0)</f>
        <v/>
      </c>
      <c r="J59" s="162">
        <f>IFERROR(G59*INDEX(자재마스터!$M:$M,MATCH("aircon_outdoor|고급",자재마스터!$Z:$Z,0)),0)</f>
        <v/>
      </c>
      <c r="K59" s="114">
        <f>1</f>
        <v/>
      </c>
      <c r="L59" s="162">
        <f>IFERROR(K59*INDEX(자재마스터!$M:$M,MATCH("aircon_outdoor|가성비",자재마스터!$Z:$Z,0)),0)</f>
        <v/>
      </c>
      <c r="M59" s="162">
        <f>IFERROR(K59*INDEX(자재마스터!$M:$M,MATCH("aircon_outdoor|표준",자재마스터!$Z:$Z,0)),0)</f>
        <v/>
      </c>
      <c r="N59" s="162">
        <f>IFERROR(K59*INDEX(자재마스터!$M:$M,MATCH("aircon_outdoor|고급",자재마스터!$Z:$Z,0)),0)</f>
        <v/>
      </c>
    </row>
    <row r="60" ht="15" customHeight="1" s="95">
      <c r="A60" s="114" t="inlineStr">
        <is>
          <t>실링팬</t>
        </is>
      </c>
      <c r="B60" s="114" t="inlineStr">
        <is>
          <t>ea</t>
        </is>
      </c>
      <c r="C60" s="114">
        <f>2</f>
        <v/>
      </c>
      <c r="D60" s="162">
        <f>IFERROR(C60*INDEX(자재마스터!$M:$M,MATCH("ceiling_fan|가성비",자재마스터!$Z:$Z,0)),0)</f>
        <v/>
      </c>
      <c r="E60" s="162">
        <f>IFERROR(C60*INDEX(자재마스터!$M:$M,MATCH("ceiling_fan|표준",자재마스터!$Z:$Z,0)),0)</f>
        <v/>
      </c>
      <c r="F60" s="162">
        <f>IFERROR(C60*INDEX(자재마스터!$M:$M,MATCH("ceiling_fan|고급",자재마스터!$Z:$Z,0)),0)</f>
        <v/>
      </c>
      <c r="G60" s="114">
        <f>2</f>
        <v/>
      </c>
      <c r="H60" s="162">
        <f>IFERROR(G60*INDEX(자재마스터!$M:$M,MATCH("ceiling_fan|가성비",자재마스터!$Z:$Z,0)),0)</f>
        <v/>
      </c>
      <c r="I60" s="162">
        <f>IFERROR(G60*INDEX(자재마스터!$M:$M,MATCH("ceiling_fan|표준",자재마스터!$Z:$Z,0)),0)</f>
        <v/>
      </c>
      <c r="J60" s="162">
        <f>IFERROR(G60*INDEX(자재마스터!$M:$M,MATCH("ceiling_fan|고급",자재마스터!$Z:$Z,0)),0)</f>
        <v/>
      </c>
      <c r="K60" s="114">
        <f>2</f>
        <v/>
      </c>
      <c r="L60" s="162">
        <f>IFERROR(K60*INDEX(자재마스터!$M:$M,MATCH("ceiling_fan|가성비",자재마스터!$Z:$Z,0)),0)</f>
        <v/>
      </c>
      <c r="M60" s="162">
        <f>IFERROR(K60*INDEX(자재마스터!$M:$M,MATCH("ceiling_fan|표준",자재마스터!$Z:$Z,0)),0)</f>
        <v/>
      </c>
      <c r="N60" s="162">
        <f>IFERROR(K60*INDEX(자재마스터!$M:$M,MATCH("ceiling_fan|고급",자재마스터!$Z:$Z,0)),0)</f>
        <v/>
      </c>
    </row>
    <row r="61" ht="15" customHeight="1" s="95">
      <c r="A61" s="114" t="inlineStr">
        <is>
          <t>목공사 (기본)</t>
        </is>
      </c>
      <c r="B61" s="114" t="inlineStr">
        <is>
          <t>set</t>
        </is>
      </c>
      <c r="C61" s="114">
        <f>1</f>
        <v/>
      </c>
      <c r="D61" s="162">
        <f>IFERROR(C61*INDEX(자재마스터!$M:$M,MATCH("carpentry_base|가성비",자재마스터!$Z:$Z,0)),0)</f>
        <v/>
      </c>
      <c r="E61" s="162">
        <f>IFERROR(C61*INDEX(자재마스터!$M:$M,MATCH("carpentry_base|표준",자재마스터!$Z:$Z,0)),0)</f>
        <v/>
      </c>
      <c r="F61" s="162">
        <f>IFERROR(C61*INDEX(자재마스터!$M:$M,MATCH("carpentry_base|고급",자재마스터!$Z:$Z,0)),0)</f>
        <v/>
      </c>
      <c r="G61" s="114">
        <f>1</f>
        <v/>
      </c>
      <c r="H61" s="162">
        <f>IFERROR(G61*INDEX(자재마스터!$M:$M,MATCH("carpentry_base|가성비",자재마스터!$Z:$Z,0)),0)</f>
        <v/>
      </c>
      <c r="I61" s="162">
        <f>IFERROR(G61*INDEX(자재마스터!$M:$M,MATCH("carpentry_base|표준",자재마스터!$Z:$Z,0)),0)</f>
        <v/>
      </c>
      <c r="J61" s="162">
        <f>IFERROR(G61*INDEX(자재마스터!$M:$M,MATCH("carpentry_base|고급",자재마스터!$Z:$Z,0)),0)</f>
        <v/>
      </c>
      <c r="K61" s="114">
        <f>1</f>
        <v/>
      </c>
      <c r="L61" s="162">
        <f>IFERROR(K61*INDEX(자재마스터!$M:$M,MATCH("carpentry_base|가성비",자재마스터!$Z:$Z,0)),0)</f>
        <v/>
      </c>
      <c r="M61" s="162">
        <f>IFERROR(K61*INDEX(자재마스터!$M:$M,MATCH("carpentry_base|표준",자재마스터!$Z:$Z,0)),0)</f>
        <v/>
      </c>
      <c r="N61" s="162">
        <f>IFERROR(K61*INDEX(자재마스터!$M:$M,MATCH("carpentry_base|고급",자재마스터!$Z:$Z,0)),0)</f>
        <v/>
      </c>
    </row>
    <row r="62" ht="15" customHeight="1" s="95">
      <c r="A62" s="114" t="inlineStr">
        <is>
          <t>확장공사</t>
        </is>
      </c>
      <c r="B62" s="114" t="inlineStr">
        <is>
          <t>㎡</t>
        </is>
      </c>
      <c r="C62" s="114">
        <f>B27</f>
        <v/>
      </c>
      <c r="D62" s="162">
        <f>IFERROR(C62*INDEX(자재마스터!$M:$M,MATCH("expansion|가성비",자재마스터!$Z:$Z,0)),0)</f>
        <v/>
      </c>
      <c r="E62" s="162">
        <f>IFERROR(C62*INDEX(자재마스터!$M:$M,MATCH("expansion|표준",자재마스터!$Z:$Z,0)),0)</f>
        <v/>
      </c>
      <c r="F62" s="162">
        <f>IFERROR(C62*INDEX(자재마스터!$M:$M,MATCH("expansion|고급",자재마스터!$Z:$Z,0)),0)</f>
        <v/>
      </c>
      <c r="G62" s="114">
        <f>E27</f>
        <v/>
      </c>
      <c r="H62" s="162">
        <f>IFERROR(G62*INDEX(자재마스터!$M:$M,MATCH("expansion|가성비",자재마스터!$Z:$Z,0)),0)</f>
        <v/>
      </c>
      <c r="I62" s="162">
        <f>IFERROR(G62*INDEX(자재마스터!$M:$M,MATCH("expansion|표준",자재마스터!$Z:$Z,0)),0)</f>
        <v/>
      </c>
      <c r="J62" s="162">
        <f>IFERROR(G62*INDEX(자재마스터!$M:$M,MATCH("expansion|고급",자재마스터!$Z:$Z,0)),0)</f>
        <v/>
      </c>
      <c r="K62" s="114">
        <f>H27</f>
        <v/>
      </c>
      <c r="L62" s="162">
        <f>IFERROR(K62*INDEX(자재마스터!$M:$M,MATCH("expansion|가성비",자재마스터!$Z:$Z,0)),0)</f>
        <v/>
      </c>
      <c r="M62" s="162">
        <f>IFERROR(K62*INDEX(자재마스터!$M:$M,MATCH("expansion|표준",자재마스터!$Z:$Z,0)),0)</f>
        <v/>
      </c>
      <c r="N62" s="162">
        <f>IFERROR(K62*INDEX(자재마스터!$M:$M,MATCH("expansion|고급",자재마스터!$Z:$Z,0)),0)</f>
        <v/>
      </c>
    </row>
    <row r="63" ht="15" customHeight="1" s="95">
      <c r="A63" s="114" t="inlineStr">
        <is>
          <t>구청 확장공사 신고</t>
        </is>
      </c>
      <c r="B63" s="114" t="inlineStr">
        <is>
          <t>set</t>
        </is>
      </c>
      <c r="C63" s="114">
        <f>1</f>
        <v/>
      </c>
      <c r="D63" s="162">
        <f>IFERROR(C63*INDEX(자재마스터!$M:$M,MATCH("expansion_permit|가성비",자재마스터!$Z:$Z,0)),0)</f>
        <v/>
      </c>
      <c r="E63" s="162">
        <f>IFERROR(C63*INDEX(자재마스터!$M:$M,MATCH("expansion_permit|표준",자재마스터!$Z:$Z,0)),0)</f>
        <v/>
      </c>
      <c r="F63" s="162">
        <f>IFERROR(C63*INDEX(자재마스터!$M:$M,MATCH("expansion_permit|고급",자재마스터!$Z:$Z,0)),0)</f>
        <v/>
      </c>
      <c r="G63" s="114">
        <f>1</f>
        <v/>
      </c>
      <c r="H63" s="162">
        <f>IFERROR(G63*INDEX(자재마스터!$M:$M,MATCH("expansion_permit|가성비",자재마스터!$Z:$Z,0)),0)</f>
        <v/>
      </c>
      <c r="I63" s="162">
        <f>IFERROR(G63*INDEX(자재마스터!$M:$M,MATCH("expansion_permit|표준",자재마스터!$Z:$Z,0)),0)</f>
        <v/>
      </c>
      <c r="J63" s="162">
        <f>IFERROR(G63*INDEX(자재마스터!$M:$M,MATCH("expansion_permit|고급",자재마스터!$Z:$Z,0)),0)</f>
        <v/>
      </c>
      <c r="K63" s="114">
        <f>1</f>
        <v/>
      </c>
      <c r="L63" s="162">
        <f>IFERROR(K63*INDEX(자재마스터!$M:$M,MATCH("expansion_permit|가성비",자재마스터!$Z:$Z,0)),0)</f>
        <v/>
      </c>
      <c r="M63" s="162">
        <f>IFERROR(K63*INDEX(자재마스터!$M:$M,MATCH("expansion_permit|표준",자재마스터!$Z:$Z,0)),0)</f>
        <v/>
      </c>
      <c r="N63" s="162">
        <f>IFERROR(K63*INDEX(자재마스터!$M:$M,MATCH("expansion_permit|고급",자재마스터!$Z:$Z,0)),0)</f>
        <v/>
      </c>
    </row>
    <row r="64" ht="15" customHeight="1" s="95">
      <c r="A64" s="114" t="inlineStr">
        <is>
          <t>발코니 도장</t>
        </is>
      </c>
      <c r="B64" s="114" t="inlineStr">
        <is>
          <t>㎡</t>
        </is>
      </c>
      <c r="C64" s="114">
        <f>B24</f>
        <v/>
      </c>
      <c r="D64" s="162">
        <f>IFERROR(C64*INDEX(자재마스터!$M:$M,MATCH("balcony_paint|가성비",자재마스터!$Z:$Z,0)),0)</f>
        <v/>
      </c>
      <c r="E64" s="162">
        <f>IFERROR(C64*INDEX(자재마스터!$M:$M,MATCH("balcony_paint|표준",자재마스터!$Z:$Z,0)),0)</f>
        <v/>
      </c>
      <c r="F64" s="162">
        <f>IFERROR(C64*INDEX(자재마스터!$M:$M,MATCH("balcony_paint|고급",자재마스터!$Z:$Z,0)),0)</f>
        <v/>
      </c>
      <c r="G64" s="114">
        <f>E24</f>
        <v/>
      </c>
      <c r="H64" s="162">
        <f>IFERROR(G64*INDEX(자재마스터!$M:$M,MATCH("balcony_paint|가성비",자재마스터!$Z:$Z,0)),0)</f>
        <v/>
      </c>
      <c r="I64" s="162">
        <f>IFERROR(G64*INDEX(자재마스터!$M:$M,MATCH("balcony_paint|표준",자재마스터!$Z:$Z,0)),0)</f>
        <v/>
      </c>
      <c r="J64" s="162">
        <f>IFERROR(G64*INDEX(자재마스터!$M:$M,MATCH("balcony_paint|고급",자재마스터!$Z:$Z,0)),0)</f>
        <v/>
      </c>
      <c r="K64" s="114">
        <f>H24</f>
        <v/>
      </c>
      <c r="L64" s="162">
        <f>IFERROR(K64*INDEX(자재마스터!$M:$M,MATCH("balcony_paint|가성비",자재마스터!$Z:$Z,0)),0)</f>
        <v/>
      </c>
      <c r="M64" s="162">
        <f>IFERROR(K64*INDEX(자재마스터!$M:$M,MATCH("balcony_paint|표준",자재마스터!$Z:$Z,0)),0)</f>
        <v/>
      </c>
      <c r="N64" s="162">
        <f>IFERROR(K64*INDEX(자재마스터!$M:$M,MATCH("balcony_paint|고급",자재마스터!$Z:$Z,0)),0)</f>
        <v/>
      </c>
    </row>
    <row r="65" ht="15" customHeight="1" s="95">
      <c r="A65" s="114" t="inlineStr">
        <is>
          <t>다용도실 도장</t>
        </is>
      </c>
      <c r="B65" s="114" t="inlineStr">
        <is>
          <t>㎡</t>
        </is>
      </c>
      <c r="C65" s="114">
        <f>B26</f>
        <v/>
      </c>
      <c r="D65" s="162">
        <f>IFERROR(C65*INDEX(자재마스터!$M:$M,MATCH("balcony_paint|가성비",자재마스터!$Z:$Z,0)),0)</f>
        <v/>
      </c>
      <c r="E65" s="162">
        <f>IFERROR(C65*INDEX(자재마스터!$M:$M,MATCH("balcony_paint|표준",자재마스터!$Z:$Z,0)),0)</f>
        <v/>
      </c>
      <c r="F65" s="162">
        <f>IFERROR(C65*INDEX(자재마스터!$M:$M,MATCH("balcony_paint|고급",자재마스터!$Z:$Z,0)),0)</f>
        <v/>
      </c>
      <c r="G65" s="114">
        <f>E26</f>
        <v/>
      </c>
      <c r="H65" s="162">
        <f>IFERROR(G65*INDEX(자재마스터!$M:$M,MATCH("balcony_paint|가성비",자재마스터!$Z:$Z,0)),0)</f>
        <v/>
      </c>
      <c r="I65" s="162">
        <f>IFERROR(G65*INDEX(자재마스터!$M:$M,MATCH("balcony_paint|표준",자재마스터!$Z:$Z,0)),0)</f>
        <v/>
      </c>
      <c r="J65" s="162">
        <f>IFERROR(G65*INDEX(자재마스터!$M:$M,MATCH("balcony_paint|고급",자재마스터!$Z:$Z,0)),0)</f>
        <v/>
      </c>
      <c r="K65" s="114">
        <f>H26</f>
        <v/>
      </c>
      <c r="L65" s="162">
        <f>IFERROR(K65*INDEX(자재마스터!$M:$M,MATCH("balcony_paint|가성비",자재마스터!$Z:$Z,0)),0)</f>
        <v/>
      </c>
      <c r="M65" s="162">
        <f>IFERROR(K65*INDEX(자재마스터!$M:$M,MATCH("balcony_paint|표준",자재마스터!$Z:$Z,0)),0)</f>
        <v/>
      </c>
      <c r="N65" s="162">
        <f>IFERROR(K65*INDEX(자재마스터!$M:$M,MATCH("balcony_paint|고급",자재마스터!$Z:$Z,0)),0)</f>
        <v/>
      </c>
    </row>
    <row r="66" ht="15" customHeight="1" s="95">
      <c r="A66" s="114" t="inlineStr">
        <is>
          <t>발코니 바닥타일</t>
        </is>
      </c>
      <c r="B66" s="114" t="inlineStr">
        <is>
          <t>㎡</t>
        </is>
      </c>
      <c r="C66" s="114">
        <f>B23</f>
        <v/>
      </c>
      <c r="D66" s="162">
        <f>IFERROR(C66*INDEX(자재마스터!$M:$M,MATCH("balcony_floor_tile|가성비",자재마스터!$Z:$Z,0)),0)</f>
        <v/>
      </c>
      <c r="E66" s="162">
        <f>IFERROR(C66*INDEX(자재마스터!$M:$M,MATCH("balcony_floor_tile|표준",자재마스터!$Z:$Z,0)),0)</f>
        <v/>
      </c>
      <c r="F66" s="162">
        <f>IFERROR(C66*INDEX(자재마스터!$M:$M,MATCH("balcony_floor_tile|고급",자재마스터!$Z:$Z,0)),0)</f>
        <v/>
      </c>
      <c r="G66" s="114">
        <f>E23</f>
        <v/>
      </c>
      <c r="H66" s="162">
        <f>IFERROR(G66*INDEX(자재마스터!$M:$M,MATCH("balcony_floor_tile|가성비",자재마스터!$Z:$Z,0)),0)</f>
        <v/>
      </c>
      <c r="I66" s="162">
        <f>IFERROR(G66*INDEX(자재마스터!$M:$M,MATCH("balcony_floor_tile|표준",자재마스터!$Z:$Z,0)),0)</f>
        <v/>
      </c>
      <c r="J66" s="162">
        <f>IFERROR(G66*INDEX(자재마스터!$M:$M,MATCH("balcony_floor_tile|고급",자재마스터!$Z:$Z,0)),0)</f>
        <v/>
      </c>
      <c r="K66" s="114">
        <f>H23</f>
        <v/>
      </c>
      <c r="L66" s="162">
        <f>IFERROR(K66*INDEX(자재마스터!$M:$M,MATCH("balcony_floor_tile|가성비",자재마스터!$Z:$Z,0)),0)</f>
        <v/>
      </c>
      <c r="M66" s="162">
        <f>IFERROR(K66*INDEX(자재마스터!$M:$M,MATCH("balcony_floor_tile|표준",자재마스터!$Z:$Z,0)),0)</f>
        <v/>
      </c>
      <c r="N66" s="162">
        <f>IFERROR(K66*INDEX(자재마스터!$M:$M,MATCH("balcony_floor_tile|고급",자재마스터!$Z:$Z,0)),0)</f>
        <v/>
      </c>
    </row>
    <row r="67" ht="15" customHeight="1" s="95">
      <c r="A67" s="114" t="inlineStr">
        <is>
          <t>다용도실 바닥타일</t>
        </is>
      </c>
      <c r="B67" s="114" t="inlineStr">
        <is>
          <t>㎡</t>
        </is>
      </c>
      <c r="C67" s="114">
        <f>B25</f>
        <v/>
      </c>
      <c r="D67" s="162">
        <f>IFERROR(C67*INDEX(자재마스터!$M:$M,MATCH("balcony_floor_tile|가성비",자재마스터!$Z:$Z,0)),0)</f>
        <v/>
      </c>
      <c r="E67" s="162">
        <f>IFERROR(C67*INDEX(자재마스터!$M:$M,MATCH("balcony_floor_tile|표준",자재마스터!$Z:$Z,0)),0)</f>
        <v/>
      </c>
      <c r="F67" s="162">
        <f>IFERROR(C67*INDEX(자재마스터!$M:$M,MATCH("balcony_floor_tile|고급",자재마스터!$Z:$Z,0)),0)</f>
        <v/>
      </c>
      <c r="G67" s="114">
        <f>E25</f>
        <v/>
      </c>
      <c r="H67" s="162">
        <f>IFERROR(G67*INDEX(자재마스터!$M:$M,MATCH("balcony_floor_tile|가성비",자재마스터!$Z:$Z,0)),0)</f>
        <v/>
      </c>
      <c r="I67" s="162">
        <f>IFERROR(G67*INDEX(자재마스터!$M:$M,MATCH("balcony_floor_tile|표준",자재마스터!$Z:$Z,0)),0)</f>
        <v/>
      </c>
      <c r="J67" s="162">
        <f>IFERROR(G67*INDEX(자재마스터!$M:$M,MATCH("balcony_floor_tile|고급",자재마스터!$Z:$Z,0)),0)</f>
        <v/>
      </c>
      <c r="K67" s="114">
        <f>H25</f>
        <v/>
      </c>
      <c r="L67" s="162">
        <f>IFERROR(K67*INDEX(자재마스터!$M:$M,MATCH("balcony_floor_tile|가성비",자재마스터!$Z:$Z,0)),0)</f>
        <v/>
      </c>
      <c r="M67" s="162">
        <f>IFERROR(K67*INDEX(자재마스터!$M:$M,MATCH("balcony_floor_tile|표준",자재마스터!$Z:$Z,0)),0)</f>
        <v/>
      </c>
      <c r="N67" s="162">
        <f>IFERROR(K67*INDEX(자재마스터!$M:$M,MATCH("balcony_floor_tile|고급",자재마스터!$Z:$Z,0)),0)</f>
        <v/>
      </c>
    </row>
    <row r="68" ht="15" customHeight="1" s="95">
      <c r="A68" s="114" t="inlineStr">
        <is>
          <t>욕실 컴포넌트 합 (10개 자동)</t>
        </is>
      </c>
      <c r="B68" s="114" t="inlineStr">
        <is>
          <t>set</t>
        </is>
      </c>
      <c r="C68" s="114" t="inlineStr">
        <is>
          <t>2</t>
        </is>
      </c>
      <c r="D68" s="162">
        <f>IFERROR((2)*INDEX(자재마스터!$M:$M,MATCH("bath_jendai|가성비",자재마스터!$Z:$Z,0)),0)+IFERROR((B21)*INDEX(자재마스터!$M:$M,MATCH("bath_waterproof|가성비",자재마스터!$Z:$Z,0)),0)+IFERROR((B21*2)*INDEX(자재마스터!$M:$M,MATCH("bath_tile|가성비",자재마스터!$Z:$Z,0)),0)+IFERROR((B22)*INDEX(자재마스터!$M:$M,MATCH("bath_tile_method|가성비",자재마스터!$Z:$Z,0)),0)+IFERROR((1)*INDEX(자재마스터!$M:$M,MATCH("bath_partition|가성비",자재마스터!$Z:$Z,0)),0)+IFERROR((B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B21)*INDEX(자재마스터!$M:$M,MATCH("bath_grout|가성비",자재마스터!$Z:$Z,0)),0)</f>
        <v/>
      </c>
      <c r="E68" s="162">
        <f>IFERROR((2)*INDEX(자재마스터!$M:$M,MATCH("bath_jendai|표준",자재마스터!$Z:$Z,0)),0)+IFERROR((B21)*INDEX(자재마스터!$M:$M,MATCH("bath_waterproof|표준",자재마스터!$Z:$Z,0)),0)+IFERROR((B21*2)*INDEX(자재마스터!$M:$M,MATCH("bath_tile|표준",자재마스터!$Z:$Z,0)),0)+IFERROR((B22)*INDEX(자재마스터!$M:$M,MATCH("bath_tile_method|표준",자재마스터!$Z:$Z,0)),0)+IFERROR((1)*INDEX(자재마스터!$M:$M,MATCH("bath_partition|표준",자재마스터!$Z:$Z,0)),0)+IFERROR((B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B21)*INDEX(자재마스터!$M:$M,MATCH("bath_grout|표준",자재마스터!$Z:$Z,0)),0)</f>
        <v/>
      </c>
      <c r="F68" s="162">
        <f>IFERROR((2)*INDEX(자재마스터!$M:$M,MATCH("bath_jendai|고급",자재마스터!$Z:$Z,0)),0)+IFERROR((B21)*INDEX(자재마스터!$M:$M,MATCH("bath_waterproof|고급",자재마스터!$Z:$Z,0)),0)+IFERROR((B21*2)*INDEX(자재마스터!$M:$M,MATCH("bath_tile|고급",자재마스터!$Z:$Z,0)),0)+IFERROR((B22)*INDEX(자재마스터!$M:$M,MATCH("bath_tile_method|고급",자재마스터!$Z:$Z,0)),0)+IFERROR((1)*INDEX(자재마스터!$M:$M,MATCH("bath_partition|고급",자재마스터!$Z:$Z,0)),0)+IFERROR((B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B21)*INDEX(자재마스터!$M:$M,MATCH("bath_grout|고급",자재마스터!$Z:$Z,0)),0)</f>
        <v/>
      </c>
      <c r="G68" s="114" t="inlineStr">
        <is>
          <t>2</t>
        </is>
      </c>
      <c r="H68" s="162">
        <f>IFERROR((2)*INDEX(자재마스터!$M:$M,MATCH("bath_jendai|가성비",자재마스터!$Z:$Z,0)),0)+IFERROR((E21)*INDEX(자재마스터!$M:$M,MATCH("bath_waterproof|가성비",자재마스터!$Z:$Z,0)),0)+IFERROR((E21*2)*INDEX(자재마스터!$M:$M,MATCH("bath_tile|가성비",자재마스터!$Z:$Z,0)),0)+IFERROR((E22)*INDEX(자재마스터!$M:$M,MATCH("bath_tile_method|가성비",자재마스터!$Z:$Z,0)),0)+IFERROR((1)*INDEX(자재마스터!$M:$M,MATCH("bath_partition|가성비",자재마스터!$Z:$Z,0)),0)+IFERROR((E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E21)*INDEX(자재마스터!$M:$M,MATCH("bath_grout|가성비",자재마스터!$Z:$Z,0)),0)</f>
        <v/>
      </c>
      <c r="I68" s="162">
        <f>IFERROR((2)*INDEX(자재마스터!$M:$M,MATCH("bath_jendai|표준",자재마스터!$Z:$Z,0)),0)+IFERROR((E21)*INDEX(자재마스터!$M:$M,MATCH("bath_waterproof|표준",자재마스터!$Z:$Z,0)),0)+IFERROR((E21*2)*INDEX(자재마스터!$M:$M,MATCH("bath_tile|표준",자재마스터!$Z:$Z,0)),0)+IFERROR((E22)*INDEX(자재마스터!$M:$M,MATCH("bath_tile_method|표준",자재마스터!$Z:$Z,0)),0)+IFERROR((1)*INDEX(자재마스터!$M:$M,MATCH("bath_partition|표준",자재마스터!$Z:$Z,0)),0)+IFERROR((E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E21)*INDEX(자재마스터!$M:$M,MATCH("bath_grout|표준",자재마스터!$Z:$Z,0)),0)</f>
        <v/>
      </c>
      <c r="J68" s="162">
        <f>IFERROR((2)*INDEX(자재마스터!$M:$M,MATCH("bath_jendai|고급",자재마스터!$Z:$Z,0)),0)+IFERROR((E21)*INDEX(자재마스터!$M:$M,MATCH("bath_waterproof|고급",자재마스터!$Z:$Z,0)),0)+IFERROR((E21*2)*INDEX(자재마스터!$M:$M,MATCH("bath_tile|고급",자재마스터!$Z:$Z,0)),0)+IFERROR((E22)*INDEX(자재마스터!$M:$M,MATCH("bath_tile_method|고급",자재마스터!$Z:$Z,0)),0)+IFERROR((1)*INDEX(자재마스터!$M:$M,MATCH("bath_partition|고급",자재마스터!$Z:$Z,0)),0)+IFERROR((E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E21)*INDEX(자재마스터!$M:$M,MATCH("bath_grout|고급",자재마스터!$Z:$Z,0)),0)</f>
        <v/>
      </c>
      <c r="K68" s="114" t="inlineStr">
        <is>
          <t>2</t>
        </is>
      </c>
      <c r="L68" s="162">
        <f>IFERROR((2)*INDEX(자재마스터!$M:$M,MATCH("bath_jendai|가성비",자재마스터!$Z:$Z,0)),0)+IFERROR((H21)*INDEX(자재마스터!$M:$M,MATCH("bath_waterproof|가성비",자재마스터!$Z:$Z,0)),0)+IFERROR((H21*2)*INDEX(자재마스터!$M:$M,MATCH("bath_tile|가성비",자재마스터!$Z:$Z,0)),0)+IFERROR((H22)*INDEX(자재마스터!$M:$M,MATCH("bath_tile_method|가성비",자재마스터!$Z:$Z,0)),0)+IFERROR((1)*INDEX(자재마스터!$M:$M,MATCH("bath_partition|가성비",자재마스터!$Z:$Z,0)),0)+IFERROR((H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H21)*INDEX(자재마스터!$M:$M,MATCH("bath_grout|가성비",자재마스터!$Z:$Z,0)),0)</f>
        <v/>
      </c>
      <c r="M68" s="162">
        <f>IFERROR((2)*INDEX(자재마스터!$M:$M,MATCH("bath_jendai|표준",자재마스터!$Z:$Z,0)),0)+IFERROR((H21)*INDEX(자재마스터!$M:$M,MATCH("bath_waterproof|표준",자재마스터!$Z:$Z,0)),0)+IFERROR((H21*2)*INDEX(자재마스터!$M:$M,MATCH("bath_tile|표준",자재마스터!$Z:$Z,0)),0)+IFERROR((H22)*INDEX(자재마스터!$M:$M,MATCH("bath_tile_method|표준",자재마스터!$Z:$Z,0)),0)+IFERROR((1)*INDEX(자재마스터!$M:$M,MATCH("bath_partition|표준",자재마스터!$Z:$Z,0)),0)+IFERROR((H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H21)*INDEX(자재마스터!$M:$M,MATCH("bath_grout|표준",자재마스터!$Z:$Z,0)),0)</f>
        <v/>
      </c>
      <c r="N68" s="162">
        <f>IFERROR((2)*INDEX(자재마스터!$M:$M,MATCH("bath_jendai|고급",자재마스터!$Z:$Z,0)),0)+IFERROR((H21)*INDEX(자재마스터!$M:$M,MATCH("bath_waterproof|고급",자재마스터!$Z:$Z,0)),0)+IFERROR((H21*2)*INDEX(자재마스터!$M:$M,MATCH("bath_tile|고급",자재마스터!$Z:$Z,0)),0)+IFERROR((H22)*INDEX(자재마스터!$M:$M,MATCH("bath_tile_method|고급",자재마스터!$Z:$Z,0)),0)+IFERROR((1)*INDEX(자재마스터!$M:$M,MATCH("bath_partition|고급",자재마스터!$Z:$Z,0)),0)+IFERROR((H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H21)*INDEX(자재마스터!$M:$M,MATCH("bath_grout|고급",자재마스터!$Z:$Z,0)),0)</f>
        <v/>
      </c>
    </row>
    <row r="69" ht="15" customHeight="1" s="95">
      <c r="A69" s="114" t="inlineStr">
        <is>
          <t>주방 컴포넌트 합 (3.6m, 7개)</t>
        </is>
      </c>
      <c r="B69" s="114" t="inlineStr">
        <is>
          <t>set</t>
        </is>
      </c>
      <c r="C69" s="114" t="inlineStr">
        <is>
          <t>3.6</t>
        </is>
      </c>
      <c r="D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E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F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G69" s="114" t="inlineStr">
        <is>
          <t>3.6</t>
        </is>
      </c>
      <c r="H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I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J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K69" s="114" t="inlineStr">
        <is>
          <t>3.6</t>
        </is>
      </c>
      <c r="L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M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N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</row>
    <row r="70" ht="15" customHeight="1" s="95">
      <c r="A70" s="114" t="inlineStr">
        <is>
          <t>조명 합 (다운+간접+마그네틱)</t>
        </is>
      </c>
      <c r="B70" s="114" t="inlineStr">
        <is>
          <t>set</t>
        </is>
      </c>
      <c r="C70" s="114" t="inlineStr">
        <is>
          <t>1</t>
        </is>
      </c>
      <c r="D70" s="162">
        <f>IFERROR((ROUND(B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E70" s="162">
        <f>IFERROR((ROUND(B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F70" s="162">
        <f>IFERROR((ROUND(B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G70" s="114" t="inlineStr">
        <is>
          <t>1</t>
        </is>
      </c>
      <c r="H70" s="162">
        <f>IFERROR((ROUND(E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I70" s="162">
        <f>IFERROR((ROUND(E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J70" s="162">
        <f>IFERROR((ROUND(E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K70" s="114" t="inlineStr">
        <is>
          <t>1</t>
        </is>
      </c>
      <c r="L70" s="162">
        <f>IFERROR((ROUND(H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M70" s="162">
        <f>IFERROR((ROUND(H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N70" s="162">
        <f>IFERROR((ROUND(H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</row>
    <row r="71" ht="15" customHeight="1" s="95">
      <c r="A71" s="114" t="inlineStr">
        <is>
          <t>합계 (자동)</t>
        </is>
      </c>
      <c r="B71" s="175" t="n"/>
      <c r="C71" s="175" t="n"/>
      <c r="D71" s="159">
        <f>SUM(D38:D70)</f>
        <v/>
      </c>
      <c r="E71" s="159">
        <f>SUM(E38:E70)</f>
        <v/>
      </c>
      <c r="F71" s="159">
        <f>SUM(F38:F70)</f>
        <v/>
      </c>
      <c r="G71" s="175" t="n"/>
      <c r="H71" s="159">
        <f>SUM(H38:H70)</f>
        <v/>
      </c>
      <c r="I71" s="159">
        <f>SUM(I38:I70)</f>
        <v/>
      </c>
      <c r="J71" s="159">
        <f>SUM(J38:J70)</f>
        <v/>
      </c>
      <c r="K71" s="175" t="n"/>
      <c r="L71" s="159">
        <f>SUM(L38:L70)</f>
        <v/>
      </c>
      <c r="M71" s="159">
        <f>SUM(M38:M70)</f>
        <v/>
      </c>
      <c r="N71" s="159">
        <f>SUM(N38:N70)</f>
        <v/>
      </c>
    </row>
    <row r="72" ht="15" customHeight="1" s="95">
      <c r="A72" s="114" t="inlineStr">
        <is>
          <t>평당 (원/평)</t>
        </is>
      </c>
      <c r="B72" s="175" t="n"/>
      <c r="C72" s="175" t="n"/>
      <c r="D72" s="159">
        <f>D71/B4</f>
        <v/>
      </c>
      <c r="E72" s="159">
        <f>E71/B4</f>
        <v/>
      </c>
      <c r="F72" s="159">
        <f>F71/B4</f>
        <v/>
      </c>
      <c r="G72" s="175" t="n"/>
      <c r="H72" s="159">
        <f>H71/E4</f>
        <v/>
      </c>
      <c r="I72" s="159">
        <f>I71/E4</f>
        <v/>
      </c>
      <c r="J72" s="159">
        <f>J71/E4</f>
        <v/>
      </c>
      <c r="K72" s="175" t="n"/>
      <c r="L72" s="159">
        <f>L71/H4</f>
        <v/>
      </c>
      <c r="M72" s="159">
        <f>M71/H4</f>
        <v/>
      </c>
      <c r="N72" s="159">
        <f>N71/H4</f>
        <v/>
      </c>
    </row>
    <row r="74" ht="13.25" customHeight="1" s="95">
      <c r="A74" s="129" t="inlineStr">
        <is>
          <t>⚙ 사용 가이드: 평형(B4/E4/H4) 변경 → 모든 수량 자동. 자재마스터 단가 변경 → 자동 반영. 라인: 단순 + 욕실/주방/조명 합 라인.</t>
        </is>
      </c>
    </row>
  </sheetData>
  <mergeCells count="9">
    <mergeCell ref="A1:N1"/>
    <mergeCell ref="K36:N36"/>
    <mergeCell ref="A2:N2"/>
    <mergeCell ref="B4:D4"/>
    <mergeCell ref="H4:J4"/>
    <mergeCell ref="E4:G4"/>
    <mergeCell ref="C36:F36"/>
    <mergeCell ref="G36:J36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3.67" customWidth="1" style="94" min="1" max="1"/>
    <col width="20.18" customWidth="1" style="94" min="2" max="2"/>
    <col width="16.51" customWidth="1" style="94" min="3" max="4"/>
    <col width="11.01" customWidth="1" style="94" min="5" max="5"/>
    <col width="16.51" customWidth="1" style="94" min="6" max="6"/>
    <col width="34.86" customWidth="1" style="94" min="7" max="7"/>
    <col width="25.69" customWidth="1" style="94" min="8" max="8"/>
  </cols>
  <sheetData>
    <row r="1" ht="18.65" customHeight="1" s="95">
      <c r="A1" s="96" t="inlineStr">
        <is>
          <t>▣ 시장 시세 vs 시스템 견적 검증 (2026-05) — 샷시 분리 + 기본공사(철거/단열/도장) 분리 적용 후</t>
        </is>
      </c>
    </row>
    <row r="2" ht="60" customHeight="1" s="95">
      <c r="A2" s="129" t="inlineStr">
        <is>
          <t>출처 비중: 셀프인테리어 카페·쓰레드/SNS 인테리어 견적사례 + 보조: 오늘의집·LX Z:IN·LifeBase·AJD·집브로·정책브리핑·sigongplus.
샷시-확장 이중계산 분리 완료: 확장공사는 골조+단열+배관+미장만(샷시 제외), 샷시는 발코니 면적 비율로 자동 분배(라인 #4 비확장부, #82 확장부 자동).
[기본공사 등급 분리] 우리집!B12 1줄 → B12 철거 / B13 단열 / B14 도장 3줄로 확장. 기존 등급 셀(B13~B31)은 +2 이동(B15~B33). 모든 시트의 우리집!B?? 참조 자동 보정.</t>
        </is>
      </c>
    </row>
    <row r="4" ht="13.25" customHeight="1" s="95">
      <c r="A4" s="129" t="inlineStr">
        <is>
          <t>1. 시나리오별 종합 검증 — 평당 공사비 (부가세 별도, 전체 샷시 ON 가정)</t>
        </is>
      </c>
    </row>
    <row r="5" ht="15" customHeight="1" s="95">
      <c r="A5" s="114" t="inlineStr">
        <is>
          <t>#</t>
        </is>
      </c>
      <c r="B5" s="114" t="inlineStr">
        <is>
          <t>시나리오</t>
        </is>
      </c>
      <c r="C5" s="114" t="inlineStr">
        <is>
          <t>시스템 총공사비(원)</t>
        </is>
      </c>
      <c r="D5" s="114" t="inlineStr">
        <is>
          <t>시스템 평당(원/평)</t>
        </is>
      </c>
      <c r="E5" s="114" t="inlineStr">
        <is>
          <t>시장 평당 범위</t>
        </is>
      </c>
      <c r="F5" s="114" t="inlineStr">
        <is>
          <t>시장 총공사비</t>
        </is>
      </c>
      <c r="G5" s="114" t="inlineStr">
        <is>
          <t>적정성</t>
        </is>
      </c>
      <c r="H5" s="114" t="inlineStr">
        <is>
          <t>출처/근거</t>
        </is>
      </c>
    </row>
    <row r="6" ht="15" customHeight="1" s="95">
      <c r="A6" s="114" t="n">
        <v>1</v>
      </c>
      <c r="B6" s="111">
        <f>우리집!B8&amp;"평 / "&amp;우리집!B61&amp;" (현재 입력)"</f>
        <v/>
      </c>
      <c r="C6" s="159">
        <f>공사비산출!B3</f>
        <v/>
      </c>
      <c r="D6" s="159">
        <f>공사비산출!E3</f>
        <v/>
      </c>
      <c r="E6" s="114">
        <f>공사비산출!B6</f>
        <v/>
      </c>
      <c r="F6" s="114" t="inlineStr">
        <is>
          <t>2,500~3,750만</t>
        </is>
      </c>
      <c r="G6" s="114">
        <f>공사비산출!E6</f>
        <v/>
      </c>
      <c r="H6" s="114" t="inlineStr">
        <is>
          <t>셀인카페·오늘의집 25평 가성비</t>
        </is>
      </c>
    </row>
    <row r="7" ht="15" customHeight="1" s="95">
      <c r="A7" s="114" t="n">
        <v>2</v>
      </c>
      <c r="B7" s="114" t="inlineStr">
        <is>
          <t>(원본 검증 — 30평 표준 기준값)</t>
        </is>
      </c>
      <c r="C7" s="159" t="n">
        <v>59995092</v>
      </c>
      <c r="D7" s="159" t="n">
        <v>1999836</v>
      </c>
      <c r="E7" s="114" t="inlineStr">
        <is>
          <t>180~220만/평</t>
        </is>
      </c>
      <c r="F7" s="114" t="inlineStr">
        <is>
          <t>5,400~6,600만</t>
        </is>
      </c>
      <c r="G7" s="114" t="inlineStr">
        <is>
          <t>✓ 적정</t>
        </is>
      </c>
      <c r="H7" s="114" t="inlineStr">
        <is>
          <t>LifeBase·AJD·오늘의집 표본 55%</t>
        </is>
      </c>
    </row>
    <row r="8" ht="15" customHeight="1" s="95">
      <c r="A8" s="114" t="n">
        <v>3</v>
      </c>
      <c r="B8" s="114" t="inlineStr">
        <is>
          <t>(원본 검증 — 40평 표준 기준값)</t>
        </is>
      </c>
      <c r="C8" s="159" t="n">
        <v>66090469</v>
      </c>
      <c r="D8" s="159" t="n">
        <v>1652261</v>
      </c>
      <c r="E8" s="114" t="inlineStr">
        <is>
          <t>180~220만/평</t>
        </is>
      </c>
      <c r="F8" s="114" t="inlineStr">
        <is>
          <t>7,200~8,800만</t>
        </is>
      </c>
      <c r="G8" s="114" t="inlineStr">
        <is>
          <t>⚠ 하한 미달</t>
        </is>
      </c>
      <c r="H8" s="114" t="inlineStr">
        <is>
          <t>AJD 40평, 평형↑ 평당↓ 자연 추세</t>
        </is>
      </c>
    </row>
    <row r="10" ht="13.25" customHeight="1" s="95">
      <c r="A10" s="129" t="inlineStr">
        <is>
          <t>1-1. 샷시-확장 분리 시뮬레이션 (30평 표준)</t>
        </is>
      </c>
    </row>
    <row r="11" ht="15" customHeight="1" s="95">
      <c r="A11" s="114" t="inlineStr">
        <is>
          <t>#</t>
        </is>
      </c>
      <c r="B11" s="114" t="inlineStr">
        <is>
          <t>케이스</t>
        </is>
      </c>
      <c r="C11" s="114" t="inlineStr">
        <is>
          <t>확장 ON</t>
        </is>
      </c>
      <c r="D11" s="114" t="inlineStr">
        <is>
          <t>전체 샷시 ON</t>
        </is>
      </c>
      <c r="E11" s="114" t="inlineStr">
        <is>
          <t>확장공사(원)</t>
        </is>
      </c>
      <c r="F11" s="114" t="inlineStr">
        <is>
          <t>샷시 합계(원)</t>
        </is>
      </c>
      <c r="G11" s="114" t="inlineStr">
        <is>
          <t>총공사비(원)</t>
        </is>
      </c>
      <c r="H11" s="114" t="inlineStr">
        <is>
          <t>비고</t>
        </is>
      </c>
    </row>
    <row r="12" ht="15" customHeight="1" s="95">
      <c r="A12" s="114" t="n">
        <v>1</v>
      </c>
      <c r="B12" s="114" t="inlineStr">
        <is>
          <t>기본 (확장+전체샷시)</t>
        </is>
      </c>
      <c r="C12" s="114" t="inlineStr">
        <is>
          <t>Y</t>
        </is>
      </c>
      <c r="D12" s="114" t="inlineStr">
        <is>
          <t>Y</t>
        </is>
      </c>
      <c r="E12" s="159" t="n">
        <v>2906150</v>
      </c>
      <c r="F12" s="159" t="n">
        <v>4640000</v>
      </c>
      <c r="G12" s="159" t="n">
        <v>59995092</v>
      </c>
      <c r="H12" s="111" t="inlineStr">
        <is>
          <t>확장 18.16㎡, 외부창 16㎡ 전체 분배 (#4 비확장 3.63 + #82 확장 12.37)</t>
        </is>
      </c>
    </row>
    <row r="13" ht="15" customHeight="1" s="95">
      <c r="A13" s="114" t="n">
        <v>2</v>
      </c>
      <c r="B13" s="114" t="inlineStr">
        <is>
          <t>확장만, 샷시 OFF</t>
        </is>
      </c>
      <c r="C13" s="114" t="inlineStr">
        <is>
          <t>Y</t>
        </is>
      </c>
      <c r="D13" s="114" t="inlineStr">
        <is>
          <t>N</t>
        </is>
      </c>
      <c r="E13" s="159" t="n">
        <v>2906150</v>
      </c>
      <c r="F13" s="159" t="n">
        <v>3587030</v>
      </c>
      <c r="G13" s="159" t="n">
        <v>58942122</v>
      </c>
      <c r="H13" s="111" t="inlineStr">
        <is>
          <t>#4 비확장 0원, #82 확장 자동만 = 358만 (샷시 -105만)</t>
        </is>
      </c>
    </row>
    <row r="14" ht="15" customHeight="1" s="95">
      <c r="A14" s="114" t="n">
        <v>3</v>
      </c>
      <c r="B14" s="114" t="inlineStr">
        <is>
          <t>확장 X, 전체 샷시 ON</t>
        </is>
      </c>
      <c r="C14" s="114" t="inlineStr">
        <is>
          <t>N</t>
        </is>
      </c>
      <c r="D14" s="114" t="inlineStr">
        <is>
          <t>Y</t>
        </is>
      </c>
      <c r="E14" s="159" t="n">
        <v>0</v>
      </c>
      <c r="F14" s="159" t="n">
        <v>4640000</v>
      </c>
      <c r="G14" s="159" t="n">
        <v>58644760</v>
      </c>
      <c r="H14" s="111" t="inlineStr">
        <is>
          <t>확장 0원, #4=464만 (전체 외부창), #82=0 — 비확장 케이스</t>
        </is>
      </c>
    </row>
    <row r="15" ht="15" customHeight="1" s="95">
      <c r="A15" s="114" t="n">
        <v>4</v>
      </c>
      <c r="B15" s="114" t="inlineStr">
        <is>
          <t>확장 X, 샷시 X</t>
        </is>
      </c>
      <c r="C15" s="114" t="inlineStr">
        <is>
          <t>N</t>
        </is>
      </c>
      <c r="D15" s="114" t="inlineStr">
        <is>
          <t>N</t>
        </is>
      </c>
      <c r="E15" s="159" t="n">
        <v>0</v>
      </c>
      <c r="F15" s="159" t="n">
        <v>0</v>
      </c>
      <c r="G15" s="159" t="n">
        <v>54004760</v>
      </c>
      <c r="H15" s="114" t="inlineStr">
        <is>
          <t>리퍼브 최소 안. 새 외부창 무시 시</t>
        </is>
      </c>
    </row>
    <row r="17" ht="13.25" customHeight="1" s="95">
      <c r="A17" s="129" t="inlineStr">
        <is>
          <t>2. 공종별 단가 검증 (30평 표준 — 분리 보정 후)</t>
        </is>
      </c>
    </row>
    <row r="18" ht="15" customHeight="1" s="95">
      <c r="A18" s="114" t="inlineStr">
        <is>
          <t>#</t>
        </is>
      </c>
      <c r="B18" s="114" t="inlineStr">
        <is>
          <t>공종</t>
        </is>
      </c>
      <c r="C18" s="114" t="inlineStr">
        <is>
          <t>시스템(원)</t>
        </is>
      </c>
      <c r="D18" s="114" t="inlineStr">
        <is>
          <t>시장 평균</t>
        </is>
      </c>
      <c r="E18" s="114" t="inlineStr">
        <is>
          <t>격차</t>
        </is>
      </c>
      <c r="F18" s="114" t="inlineStr">
        <is>
          <t>평가</t>
        </is>
      </c>
      <c r="G18" s="114" t="inlineStr">
        <is>
          <t>보정 사항</t>
        </is>
      </c>
      <c r="H18" s="114" t="inlineStr">
        <is>
          <t>근거 출처</t>
        </is>
      </c>
    </row>
    <row r="19" ht="15" customHeight="1" s="95">
      <c r="A19" s="114" t="n">
        <v>1</v>
      </c>
      <c r="B19" s="114" t="inlineStr">
        <is>
          <t>기본공사 (철거+단열+도장)</t>
        </is>
      </c>
      <c r="C19" s="159" t="n">
        <v>4021650</v>
      </c>
      <c r="D19" s="114" t="inlineStr">
        <is>
          <t>350~500만</t>
        </is>
      </c>
      <c r="E19" s="114" t="inlineStr">
        <is>
          <t>-5%</t>
        </is>
      </c>
      <c r="F19" s="114" t="inlineStr">
        <is>
          <t>✓ 적정</t>
        </is>
      </c>
      <c r="G19" s="114" t="inlineStr">
        <is>
          <t>변경 없음</t>
        </is>
      </c>
      <c r="H19" s="114" t="inlineStr">
        <is>
          <t>AJD·LifeBase 30평</t>
        </is>
      </c>
    </row>
    <row r="20" ht="15" customHeight="1" s="95">
      <c r="A20" s="114" t="n">
        <v>2</v>
      </c>
      <c r="B20" s="114" t="inlineStr">
        <is>
          <t>샷시 비확장부 (#4)</t>
        </is>
      </c>
      <c r="C20" s="159" t="n">
        <v>1052970</v>
      </c>
      <c r="D20" s="114" t="inlineStr">
        <is>
          <t>50~150만</t>
        </is>
      </c>
      <c r="E20" s="114" t="inlineStr">
        <is>
          <t>+5%</t>
        </is>
      </c>
      <c r="F20" s="114" t="inlineStr">
        <is>
          <t>✓ 적정</t>
        </is>
      </c>
      <c r="G20" s="114" t="inlineStr">
        <is>
          <t>외부창 ×(1-확장비율) 산정</t>
        </is>
      </c>
      <c r="H20" s="111" t="inlineStr">
        <is>
          <t>sigongplus 외부창 ㎡당 PVC 22~29만</t>
        </is>
      </c>
    </row>
    <row r="21" ht="15" customHeight="1" s="95">
      <c r="A21" s="114" t="n">
        <v>3</v>
      </c>
      <c r="B21" s="114" t="inlineStr">
        <is>
          <t>샷시 확장부 자동 (#82)</t>
        </is>
      </c>
      <c r="C21" s="159" t="n">
        <v>3587030</v>
      </c>
      <c r="D21" s="114" t="inlineStr">
        <is>
          <t>300~500만</t>
        </is>
      </c>
      <c r="E21" s="114" t="inlineStr">
        <is>
          <t>-10%</t>
        </is>
      </c>
      <c r="F21" s="114" t="inlineStr">
        <is>
          <t>✓ 적정</t>
        </is>
      </c>
      <c r="G21" s="114" t="inlineStr">
        <is>
          <t>외부창 ×(확장비율) 자동 산정</t>
        </is>
      </c>
      <c r="H21" s="114" t="inlineStr">
        <is>
          <t>확장 시 발코니 측 새 외부창 표준</t>
        </is>
      </c>
    </row>
    <row r="22" ht="15" customHeight="1" s="95">
      <c r="A22" s="114" t="n">
        <v>4</v>
      </c>
      <c r="B22" s="114" t="inlineStr">
        <is>
          <t>샷시 합계</t>
        </is>
      </c>
      <c r="C22" s="159" t="n">
        <v>4640000</v>
      </c>
      <c r="D22" s="114" t="inlineStr">
        <is>
          <t>600~1,000만</t>
        </is>
      </c>
      <c r="E22" s="114" t="inlineStr">
        <is>
          <t>-42%</t>
        </is>
      </c>
      <c r="F22" s="114" t="inlineStr">
        <is>
          <t>⚠ 약간 낮음</t>
        </is>
      </c>
      <c r="G22" s="114" t="inlineStr">
        <is>
          <t>면적 산정 정확도 향상</t>
        </is>
      </c>
      <c r="H22" s="111" t="inlineStr">
        <is>
          <t>시장 평형당 견적은 추가 단열·블라인드 포함 多</t>
        </is>
      </c>
    </row>
    <row r="23" ht="15" customHeight="1" s="95">
      <c r="A23" s="114" t="n">
        <v>5</v>
      </c>
      <c r="B23" s="114" t="inlineStr">
        <is>
          <t>확장공사 (샷시 분리 후)</t>
        </is>
      </c>
      <c r="C23" s="159" t="n">
        <v>2906150</v>
      </c>
      <c r="D23" s="114" t="inlineStr">
        <is>
          <t>200~350만</t>
        </is>
      </c>
      <c r="E23" s="114" t="inlineStr">
        <is>
          <t>+6%</t>
        </is>
      </c>
      <c r="F23" s="114" t="inlineStr">
        <is>
          <t>✓ 적정</t>
        </is>
      </c>
      <c r="G23" s="114" t="inlineStr">
        <is>
          <t>단가 -63% (샷시 제외)</t>
        </is>
      </c>
      <c r="H23" s="114" t="inlineStr">
        <is>
          <t>정책브리핑 ㎡당 골조 10.6만+단열 5만</t>
        </is>
      </c>
    </row>
    <row r="24" ht="15" customHeight="1" s="95">
      <c r="A24" s="114" t="n">
        <v>6</v>
      </c>
      <c r="B24" s="114" t="inlineStr">
        <is>
          <t>확장+샷시(자동) 통합 ㎡당</t>
        </is>
      </c>
      <c r="C24" s="159" t="n">
        <v>357489</v>
      </c>
      <c r="D24" s="114" t="inlineStr">
        <is>
          <t>296,000~342,000원</t>
        </is>
      </c>
      <c r="E24" s="114" t="inlineStr">
        <is>
          <t>+12%</t>
        </is>
      </c>
      <c r="F24" s="114" t="inlineStr">
        <is>
          <t>✓ 적정</t>
        </is>
      </c>
      <c r="G24" s="114" t="inlineStr">
        <is>
          <t>정책브리핑 ㎡당 30~34만 부합</t>
        </is>
      </c>
      <c r="H24" s="111" t="inlineStr">
        <is>
          <t>단열창 19~23.6만 + 골조마감 10.6만</t>
        </is>
      </c>
    </row>
    <row r="25" ht="15" customHeight="1" s="95">
      <c r="A25" s="114" t="n">
        <v>7</v>
      </c>
      <c r="B25" s="114" t="inlineStr">
        <is>
          <t>바닥재 (강마루 광폭)</t>
        </is>
      </c>
      <c r="C25" s="159" t="n">
        <v>2760000</v>
      </c>
      <c r="D25" s="114" t="inlineStr">
        <is>
          <t>250~350만</t>
        </is>
      </c>
      <c r="E25" s="114" t="inlineStr">
        <is>
          <t>-8%</t>
        </is>
      </c>
      <c r="F25" s="114" t="inlineStr">
        <is>
          <t>✓ 적정</t>
        </is>
      </c>
      <c r="G25" s="114" t="inlineStr">
        <is>
          <t>거실 18→20㎡ 면적 보정 효과</t>
        </is>
      </c>
      <c r="H25" s="114" t="inlineStr">
        <is>
          <t>쓰레드 단가표 광폭 강마루</t>
        </is>
      </c>
    </row>
    <row r="26" ht="15" customHeight="1" s="95">
      <c r="A26" s="114" t="n">
        <v>8</v>
      </c>
      <c r="B26" s="114" t="inlineStr">
        <is>
          <t>도배 (실크 표준)</t>
        </is>
      </c>
      <c r="C26" s="159" t="n">
        <v>2100000</v>
      </c>
      <c r="D26" s="114" t="inlineStr">
        <is>
          <t>180~250만</t>
        </is>
      </c>
      <c r="E26" s="114" t="inlineStr">
        <is>
          <t>-2%</t>
        </is>
      </c>
      <c r="F26" s="114" t="inlineStr">
        <is>
          <t>✓ 적정</t>
        </is>
      </c>
      <c r="G26" s="114" t="inlineStr">
        <is>
          <t>합지 자재 미세 상향</t>
        </is>
      </c>
      <c r="H26" s="114" t="inlineStr">
        <is>
          <t>셀인카페·숨고</t>
        </is>
      </c>
    </row>
    <row r="27" ht="15" customHeight="1" s="95">
      <c r="A27" s="114" t="n">
        <v>9</v>
      </c>
      <c r="B27" s="114" t="inlineStr">
        <is>
          <t>몰딩 (MDF 평몰딩)</t>
        </is>
      </c>
      <c r="C27" s="159" t="n">
        <v>827601</v>
      </c>
      <c r="D27" s="114" t="inlineStr">
        <is>
          <t>70~120만</t>
        </is>
      </c>
      <c r="E27" s="114" t="inlineStr">
        <is>
          <t>-13%</t>
        </is>
      </c>
      <c r="F27" s="114" t="inlineStr">
        <is>
          <t>✓ 적정</t>
        </is>
      </c>
      <c r="G27" s="114" t="inlineStr">
        <is>
          <t>PVC 평몰딩 인건비 +500</t>
        </is>
      </c>
      <c r="H27" s="114" t="inlineStr">
        <is>
          <t>숨고 평균 64만</t>
        </is>
      </c>
    </row>
    <row r="28" ht="15" customHeight="1" s="95">
      <c r="A28" s="114" t="n">
        <v>10</v>
      </c>
      <c r="B28" s="114" t="inlineStr">
        <is>
          <t>걸레받이 (PVC 4전)</t>
        </is>
      </c>
      <c r="C28" s="159" t="n">
        <v>347550</v>
      </c>
      <c r="D28" s="114" t="inlineStr">
        <is>
          <t>30~50만</t>
        </is>
      </c>
      <c r="E28" s="114" t="inlineStr">
        <is>
          <t>-13%</t>
        </is>
      </c>
      <c r="F28" s="114" t="inlineStr">
        <is>
          <t>✓ 적정</t>
        </is>
      </c>
      <c r="G28" s="114" t="inlineStr">
        <is>
          <t>변경 없음</t>
        </is>
      </c>
      <c r="H28" s="114" t="inlineStr">
        <is>
          <t>셀인카페</t>
        </is>
      </c>
    </row>
    <row r="29" ht="15" customHeight="1" s="95">
      <c r="A29" s="114" t="n">
        <v>11</v>
      </c>
      <c r="B29" s="114" t="inlineStr">
        <is>
          <t>욕실 컴포넌트 (2개소)</t>
        </is>
      </c>
      <c r="C29" s="159" t="n">
        <v>8708959</v>
      </c>
      <c r="D29" s="114" t="inlineStr">
        <is>
          <t>700~1,000만</t>
        </is>
      </c>
      <c r="E29" s="114" t="inlineStr">
        <is>
          <t>+2%</t>
        </is>
      </c>
      <c r="F29" s="114" t="inlineStr">
        <is>
          <t>✓ 적정</t>
        </is>
      </c>
      <c r="G29" s="114" t="inlineStr">
        <is>
          <t>600/900각 자재 미세 조정</t>
        </is>
      </c>
      <c r="H29" s="111" t="inlineStr">
        <is>
          <t>오늘의집·셀인카페 1개소 350~500만 × 2</t>
        </is>
      </c>
    </row>
    <row r="30" ht="15" customHeight="1" s="95">
      <c r="A30" s="114" t="n">
        <v>12</v>
      </c>
      <c r="B30" s="114" t="inlineStr">
        <is>
          <t>욕실 설치비 통합</t>
        </is>
      </c>
      <c r="C30" s="159" t="n">
        <v>600000</v>
      </c>
      <c r="D30" s="114" t="inlineStr">
        <is>
          <t>50~80만</t>
        </is>
      </c>
      <c r="E30" s="114" t="inlineStr">
        <is>
          <t>-8%</t>
        </is>
      </c>
      <c r="F30" s="114" t="inlineStr">
        <is>
          <t>✓ 적정</t>
        </is>
      </c>
      <c r="G30" s="114" t="inlineStr">
        <is>
          <t>변경 없음</t>
        </is>
      </c>
      <c r="H30" s="114" t="inlineStr">
        <is>
          <t>욕실 설치 30만×2</t>
        </is>
      </c>
    </row>
    <row r="31" ht="15" customHeight="1" s="95">
      <c r="A31" s="114" t="n">
        <v>13</v>
      </c>
      <c r="B31" s="114" t="inlineStr">
        <is>
          <t>타일 통합 시공팀</t>
        </is>
      </c>
      <c r="C31" s="159" t="n">
        <v>2200000</v>
      </c>
      <c r="D31" s="114" t="inlineStr">
        <is>
          <t>180~250만</t>
        </is>
      </c>
      <c r="E31" s="114" t="inlineStr">
        <is>
          <t>+2%</t>
        </is>
      </c>
      <c r="F31" s="114" t="inlineStr">
        <is>
          <t>✓ 적정</t>
        </is>
      </c>
      <c r="G31" s="114" t="inlineStr">
        <is>
          <t>변경 없음</t>
        </is>
      </c>
      <c r="H31" s="114" t="inlineStr">
        <is>
          <t>tilejob.co.kr 1팀 50~60만</t>
        </is>
      </c>
    </row>
    <row r="32" ht="15" customHeight="1" s="95">
      <c r="A32" s="114" t="n">
        <v>14</v>
      </c>
      <c r="B32" s="114" t="inlineStr">
        <is>
          <t>주방가구 (3.6m, 표준)</t>
        </is>
      </c>
      <c r="C32" s="159" t="n">
        <v>9410000</v>
      </c>
      <c r="D32" s="114" t="inlineStr">
        <is>
          <t>700~1,200만</t>
        </is>
      </c>
      <c r="E32" s="114" t="inlineStr">
        <is>
          <t>-1%</t>
        </is>
      </c>
      <c r="F32" s="114" t="inlineStr">
        <is>
          <t>✓ 적정</t>
        </is>
      </c>
      <c r="G32" s="114" t="inlineStr">
        <is>
          <t>변경 없음</t>
        </is>
      </c>
      <c r="H32" s="114" t="inlineStr">
        <is>
          <t>한샘 키친앤 PET 패키지</t>
        </is>
      </c>
    </row>
    <row r="33" ht="15" customHeight="1" s="95">
      <c r="A33" s="114" t="n">
        <v>15</v>
      </c>
      <c r="B33" s="114" t="inlineStr">
        <is>
          <t>중문 (3연동 표준)</t>
        </is>
      </c>
      <c r="C33" s="159" t="n">
        <v>2130000</v>
      </c>
      <c r="D33" s="114" t="inlineStr">
        <is>
          <t>90~250만</t>
        </is>
      </c>
      <c r="E33" s="114" t="inlineStr">
        <is>
          <t>+25%</t>
        </is>
      </c>
      <c r="F33" s="114" t="inlineStr">
        <is>
          <t>✓ 상한</t>
        </is>
      </c>
      <c r="G33" s="114" t="inlineStr">
        <is>
          <t>변경 없음</t>
        </is>
      </c>
      <c r="H33" s="114" t="inlineStr">
        <is>
          <t>쇼핑하우·LX Z:IN</t>
        </is>
      </c>
    </row>
    <row r="34" ht="15" customHeight="1" s="95">
      <c r="A34" s="114" t="n">
        <v>16</v>
      </c>
      <c r="B34" s="114" t="inlineStr">
        <is>
          <t>일반가구 (현관장)</t>
        </is>
      </c>
      <c r="C34" s="159" t="n">
        <v>1530000</v>
      </c>
      <c r="D34" s="114" t="inlineStr">
        <is>
          <t>80~200만</t>
        </is>
      </c>
      <c r="E34" s="114" t="inlineStr">
        <is>
          <t>+9%</t>
        </is>
      </c>
      <c r="F34" s="114" t="inlineStr">
        <is>
          <t>✓ 적정</t>
        </is>
      </c>
      <c r="G34" s="114" t="inlineStr">
        <is>
          <t>변경 없음</t>
        </is>
      </c>
      <c r="H34" s="114" t="inlineStr">
        <is>
          <t>한샘 신발+키큰장</t>
        </is>
      </c>
    </row>
    <row r="35" ht="15" customHeight="1" s="95">
      <c r="A35" s="114" t="n">
        <v>17</v>
      </c>
      <c r="B35" s="114" t="inlineStr">
        <is>
          <t>조명 (다운라이트+간접)</t>
        </is>
      </c>
      <c r="C35" s="159" t="n">
        <v>0</v>
      </c>
      <c r="D35" s="114" t="inlineStr">
        <is>
          <t>100~180만</t>
        </is>
      </c>
      <c r="E35" s="114" t="inlineStr">
        <is>
          <t>-100%</t>
        </is>
      </c>
      <c r="F35" s="114" t="inlineStr">
        <is>
          <t>⚠ OFF</t>
        </is>
      </c>
      <c r="G35" s="114" t="inlineStr">
        <is>
          <t>공사범위 B21=Y로 ON</t>
        </is>
      </c>
      <c r="H35" s="114" t="inlineStr">
        <is>
          <t>비츠조명·아트램프</t>
        </is>
      </c>
    </row>
    <row r="36" ht="15" customHeight="1" s="95">
      <c r="A36" s="114" t="n">
        <v>18</v>
      </c>
      <c r="B36" s="114" t="inlineStr">
        <is>
          <t>시스템에어컨 (3대 표준)</t>
        </is>
      </c>
      <c r="C36" s="159" t="n">
        <v>6600000</v>
      </c>
      <c r="D36" s="114" t="inlineStr">
        <is>
          <t>500~800만</t>
        </is>
      </c>
      <c r="E36" s="114" t="inlineStr">
        <is>
          <t>+2%</t>
        </is>
      </c>
      <c r="F36" s="114" t="inlineStr">
        <is>
          <t>⚠ 약간 높음</t>
        </is>
      </c>
      <c r="G36" s="114" t="inlineStr">
        <is>
          <t>1way/4way 인건비 보정</t>
        </is>
      </c>
      <c r="H36" s="111" t="inlineStr">
        <is>
          <t>LG/삼성 1way 50~58만, 4way 70~75만</t>
        </is>
      </c>
    </row>
    <row r="37" ht="15" customHeight="1" s="95">
      <c r="A37" s="114" t="n">
        <v>19</v>
      </c>
      <c r="B37" s="114" t="inlineStr">
        <is>
          <t>에어컨 실외기 (멀티)</t>
        </is>
      </c>
      <c r="C37" s="159" t="n">
        <v>2120000</v>
      </c>
      <c r="D37" s="114" t="inlineStr">
        <is>
          <t>180~250만</t>
        </is>
      </c>
      <c r="E37" s="114" t="inlineStr">
        <is>
          <t>-1%</t>
        </is>
      </c>
      <c r="F37" s="114" t="inlineStr">
        <is>
          <t>✓ 적정</t>
        </is>
      </c>
      <c r="G37" s="114" t="inlineStr">
        <is>
          <t>변경 없음</t>
        </is>
      </c>
      <c r="H37" s="114" t="inlineStr">
        <is>
          <t>LG 휘센 5룸</t>
        </is>
      </c>
    </row>
    <row r="38" ht="15" customHeight="1" s="95">
      <c r="A38" s="114" t="n">
        <v>20</v>
      </c>
      <c r="B38" s="114" t="inlineStr">
        <is>
          <t>붙박이장 (3개소)</t>
        </is>
      </c>
      <c r="C38" s="159" t="n">
        <v>6768000</v>
      </c>
      <c r="D38" s="114" t="inlineStr">
        <is>
          <t>600~900만</t>
        </is>
      </c>
      <c r="E38" s="114" t="inlineStr">
        <is>
          <t>-10%</t>
        </is>
      </c>
      <c r="F38" s="114" t="inlineStr">
        <is>
          <t>⚠ 약간 높음</t>
        </is>
      </c>
      <c r="G38" s="111" t="inlineStr">
        <is>
          <t>평형별 m 차등 (40+:2.4 / 30+:2.0 / 미만:1.8)</t>
        </is>
      </c>
      <c r="H38" s="114" t="inlineStr">
        <is>
          <t>한샘·리바트 m당 90~110만</t>
        </is>
      </c>
    </row>
    <row r="39" ht="15" customHeight="1" s="95">
      <c r="A39" s="114" t="n">
        <v>21</v>
      </c>
      <c r="B39" s="114" t="inlineStr">
        <is>
          <t>실링팬 (2대)</t>
        </is>
      </c>
      <c r="C39" s="159" t="n">
        <v>1460000</v>
      </c>
      <c r="D39" s="114" t="inlineStr">
        <is>
          <t>100~200만</t>
        </is>
      </c>
      <c r="E39" s="114" t="inlineStr">
        <is>
          <t>-3%</t>
        </is>
      </c>
      <c r="F39" s="114" t="inlineStr">
        <is>
          <t>✓ 적정</t>
        </is>
      </c>
      <c r="G39" s="114" t="inlineStr">
        <is>
          <t>변경 없음</t>
        </is>
      </c>
      <c r="H39" s="114" t="inlineStr">
        <is>
          <t>헌터더글라스+비브랜드</t>
        </is>
      </c>
    </row>
    <row r="40" ht="15" customHeight="1" s="95">
      <c r="A40" s="114" t="n">
        <v>22</v>
      </c>
      <c r="B40" s="114" t="inlineStr">
        <is>
          <t>스위치/콘센트 (르그랑급)</t>
        </is>
      </c>
      <c r="C40" s="159" t="n">
        <v>782000</v>
      </c>
      <c r="D40" s="114" t="inlineStr">
        <is>
          <t>50~120만</t>
        </is>
      </c>
      <c r="E40" s="114" t="inlineStr">
        <is>
          <t>-8%</t>
        </is>
      </c>
      <c r="F40" s="114" t="inlineStr">
        <is>
          <t>✓ 적정</t>
        </is>
      </c>
      <c r="G40" s="114" t="inlineStr">
        <is>
          <t>변경 없음</t>
        </is>
      </c>
      <c r="H40" s="114" t="inlineStr">
        <is>
          <t>르그랑 뉴덴/아테오</t>
        </is>
      </c>
    </row>
    <row r="41" ht="15" customHeight="1" s="95">
      <c r="A41" s="114" t="n">
        <v>23</v>
      </c>
      <c r="B41" s="114" t="inlineStr">
        <is>
          <t>인덕션 전용선</t>
        </is>
      </c>
      <c r="C41" s="159" t="n">
        <v>500000</v>
      </c>
      <c r="D41" s="114" t="inlineStr">
        <is>
          <t>40~60만</t>
        </is>
      </c>
      <c r="E41" s="114" t="inlineStr">
        <is>
          <t>+0%</t>
        </is>
      </c>
      <c r="F41" s="114" t="inlineStr">
        <is>
          <t>✓ 적정</t>
        </is>
      </c>
      <c r="G41" s="114" t="inlineStr">
        <is>
          <t>변경 없음</t>
        </is>
      </c>
      <c r="H41" s="114" t="inlineStr">
        <is>
          <t>분전반→주방 자재+인건 50만</t>
        </is>
      </c>
    </row>
    <row r="42" ht="15" customHeight="1" s="95">
      <c r="A42" s="114" t="n">
        <v>24</v>
      </c>
      <c r="B42" s="114" t="inlineStr">
        <is>
          <t>발코니/다용도실</t>
        </is>
      </c>
      <c r="C42" s="159" t="n">
        <v>333928</v>
      </c>
      <c r="D42" s="114" t="inlineStr">
        <is>
          <t>40~80만</t>
        </is>
      </c>
      <c r="E42" s="114" t="inlineStr">
        <is>
          <t>-44%</t>
        </is>
      </c>
      <c r="F42" s="114" t="inlineStr">
        <is>
          <t>✓ 적정</t>
        </is>
      </c>
      <c r="G42" s="114" t="inlineStr">
        <is>
          <t>변경 없음</t>
        </is>
      </c>
      <c r="H42" s="114" t="inlineStr">
        <is>
          <t>도장+다용도실 바닥타일</t>
        </is>
      </c>
    </row>
    <row r="44" ht="13.25" customHeight="1" s="95">
      <c r="A44" s="129" t="inlineStr">
        <is>
          <t>3. 면적·둘레·산정 로직 검증 (확장-샷시 분리 포함)</t>
        </is>
      </c>
    </row>
    <row r="45" ht="15" customHeight="1" s="95">
      <c r="A45" s="114" t="inlineStr">
        <is>
          <t>#</t>
        </is>
      </c>
      <c r="B45" s="114" t="inlineStr">
        <is>
          <t>검증 항목</t>
        </is>
      </c>
      <c r="C45" s="114" t="inlineStr">
        <is>
          <t>시스템 로직/값</t>
        </is>
      </c>
      <c r="D45" s="114" t="inlineStr">
        <is>
          <t>시장 표준/근거</t>
        </is>
      </c>
      <c r="E45" s="114" t="inlineStr">
        <is>
          <t>평가</t>
        </is>
      </c>
      <c r="F45" s="114" t="inlineStr">
        <is>
          <t>보정 사항</t>
        </is>
      </c>
      <c r="G45" s="105" t="n"/>
      <c r="H45" s="106" t="n"/>
    </row>
    <row r="46" ht="15" customHeight="1" s="95">
      <c r="A46" s="114" t="n">
        <v>1</v>
      </c>
      <c r="B46" s="114" t="inlineStr">
        <is>
          <t>전용면적</t>
        </is>
      </c>
      <c r="C46" s="114" t="inlineStr">
        <is>
          <t>공급 × 0.75</t>
        </is>
      </c>
      <c r="D46" s="111" t="inlineStr">
        <is>
          <t>국민평형 84㎡=공급 110~115㎡, 전용율 73~76%</t>
        </is>
      </c>
      <c r="E46" s="114" t="inlineStr">
        <is>
          <t>✓ 적정</t>
        </is>
      </c>
      <c r="F46" s="114" t="inlineStr">
        <is>
          <t>변경 없음</t>
        </is>
      </c>
      <c r="G46" s="105" t="n"/>
      <c r="H46" s="106" t="n"/>
    </row>
    <row r="47" ht="15" customHeight="1" s="95">
      <c r="A47" s="114" t="n">
        <v>2</v>
      </c>
      <c r="B47" s="114" t="inlineStr">
        <is>
          <t>30평 거실</t>
        </is>
      </c>
      <c r="C47" s="114" t="inlineStr">
        <is>
          <t>20㎡ (보정 후)</t>
        </is>
      </c>
      <c r="D47" s="111" t="inlineStr">
        <is>
          <t>대한건축학회 33평 거실 27㎡, 30평 환산 22~23㎡</t>
        </is>
      </c>
      <c r="E47" s="114" t="inlineStr">
        <is>
          <t>✓ 적정</t>
        </is>
      </c>
      <c r="F47" s="114" t="inlineStr">
        <is>
          <t>상향 완료</t>
        </is>
      </c>
      <c r="G47" s="105" t="n"/>
      <c r="H47" s="106" t="n"/>
    </row>
    <row r="48" ht="15" customHeight="1" s="95">
      <c r="A48" s="114" t="n">
        <v>3</v>
      </c>
      <c r="B48" s="114" t="inlineStr">
        <is>
          <t>30평 외부창</t>
        </is>
      </c>
      <c r="C48" s="114" t="inlineStr">
        <is>
          <t>16㎡ (보정 후)</t>
        </is>
      </c>
      <c r="D48" s="114" t="inlineStr">
        <is>
          <t>3베이 30평 외부창 16~22㎡</t>
        </is>
      </c>
      <c r="E48" s="114" t="inlineStr">
        <is>
          <t>✓ 적정</t>
        </is>
      </c>
      <c r="F48" s="114" t="inlineStr">
        <is>
          <t>상향 완료</t>
        </is>
      </c>
      <c r="G48" s="105" t="n"/>
      <c r="H48" s="106" t="n"/>
    </row>
    <row r="49" ht="15" customHeight="1" s="95">
      <c r="A49" s="114" t="n">
        <v>4</v>
      </c>
      <c r="B49" s="114" t="inlineStr">
        <is>
          <t>샷시 외부창 분배</t>
        </is>
      </c>
      <c r="C49" s="114" t="inlineStr">
        <is>
          <t>외부창×F12/SUM(C7:C11)</t>
        </is>
      </c>
      <c r="D49" s="111" t="inlineStr">
        <is>
          <t>발코니 면적 비율로 분배 — 확장 면적이 클수록 신축 외부창 면적↑</t>
        </is>
      </c>
      <c r="E49" s="114" t="inlineStr">
        <is>
          <t>✓ 신규</t>
        </is>
      </c>
      <c r="F49" s="114" t="inlineStr">
        <is>
          <t>분리 적용</t>
        </is>
      </c>
      <c r="G49" s="105" t="n"/>
      <c r="H49" s="106" t="n"/>
    </row>
    <row r="50" ht="15" customHeight="1" s="95">
      <c r="A50" s="114" t="n">
        <v>5</v>
      </c>
      <c r="B50" s="114" t="inlineStr">
        <is>
          <t>확장공사 단가</t>
        </is>
      </c>
      <c r="C50" s="114" t="inlineStr">
        <is>
          <t>골조+단열+배관+미장만</t>
        </is>
      </c>
      <c r="D50" s="111" t="inlineStr">
        <is>
          <t>정책브리핑 골조마감 ㎡당 10.6만 + 단열 5만 ≈ 16만</t>
        </is>
      </c>
      <c r="E50" s="114" t="inlineStr">
        <is>
          <t>✓ 적정</t>
        </is>
      </c>
      <c r="F50" s="114" t="inlineStr">
        <is>
          <t>샷시 제외 보정</t>
        </is>
      </c>
      <c r="G50" s="105" t="n"/>
      <c r="H50" s="106" t="n"/>
    </row>
    <row r="51" ht="15" customHeight="1" s="95">
      <c r="A51" s="114" t="n">
        <v>6</v>
      </c>
      <c r="B51" s="114" t="inlineStr">
        <is>
          <t>확장 시 샷시</t>
        </is>
      </c>
      <c r="C51" s="114" t="inlineStr">
        <is>
          <t>#82 자동 ON</t>
        </is>
      </c>
      <c r="D51" s="114" t="inlineStr">
        <is>
          <t>확장&gt;0이면 발코니 측 새 외부창 자동</t>
        </is>
      </c>
      <c r="E51" s="114" t="inlineStr">
        <is>
          <t>✓ 신규</t>
        </is>
      </c>
      <c r="F51" s="114" t="inlineStr">
        <is>
          <t>자동화</t>
        </is>
      </c>
      <c r="G51" s="105" t="n"/>
      <c r="H51" s="106" t="n"/>
    </row>
    <row r="52" ht="15" customHeight="1" s="95">
      <c r="A52" s="114" t="n">
        <v>7</v>
      </c>
      <c r="B52" s="114" t="inlineStr">
        <is>
          <t>전체 샷시 토글</t>
        </is>
      </c>
      <c r="C52" s="114" t="inlineStr">
        <is>
          <t>공사범위!B25 (수동)</t>
        </is>
      </c>
      <c r="D52" s="114" t="inlineStr">
        <is>
          <t>확장 강제 Y 제거 — 사용자 직접 결정</t>
        </is>
      </c>
      <c r="E52" s="114" t="inlineStr">
        <is>
          <t>✓ 분리</t>
        </is>
      </c>
      <c r="F52" s="114" t="inlineStr">
        <is>
          <t>수정 완료</t>
        </is>
      </c>
      <c r="G52" s="105" t="n"/>
      <c r="H52" s="106" t="n"/>
    </row>
    <row r="53" ht="15" customHeight="1" s="95">
      <c r="A53" s="114" t="n">
        <v>8</v>
      </c>
      <c r="B53" s="114" t="inlineStr">
        <is>
          <t>붙박이장 m</t>
        </is>
      </c>
      <c r="C53" s="114" t="inlineStr">
        <is>
          <t>평형별 차등</t>
        </is>
      </c>
      <c r="D53" s="114" t="inlineStr">
        <is>
          <t>25평:1.8/30평:2.0/40평:2.4</t>
        </is>
      </c>
      <c r="E53" s="114" t="inlineStr">
        <is>
          <t>✓ 보강</t>
        </is>
      </c>
      <c r="F53" s="114" t="inlineStr">
        <is>
          <t>적용 완료</t>
        </is>
      </c>
      <c r="G53" s="105" t="n"/>
      <c r="H53" s="106" t="n"/>
    </row>
    <row r="54" ht="15" customHeight="1" s="95">
      <c r="A54" s="114" t="n">
        <v>9</v>
      </c>
      <c r="B54" s="114" t="inlineStr">
        <is>
          <t>공간 둘레</t>
        </is>
      </c>
      <c r="C54" s="114" t="inlineStr">
        <is>
          <t>SQRT(면적)×3.4</t>
        </is>
      </c>
      <c r="D54" s="114" t="inlineStr">
        <is>
          <t>직사각형 둘레 3.4~3.8×SQRT</t>
        </is>
      </c>
      <c r="E54" s="114" t="inlineStr">
        <is>
          <t>✓ 적정</t>
        </is>
      </c>
      <c r="F54" s="114" t="inlineStr">
        <is>
          <t>변경 없음</t>
        </is>
      </c>
      <c r="G54" s="105" t="n"/>
      <c r="H54" s="106" t="n"/>
    </row>
    <row r="55" ht="15" customHeight="1" s="95">
      <c r="A55" s="114" t="n">
        <v>10</v>
      </c>
      <c r="B55" s="114" t="inlineStr">
        <is>
          <t>베이별 폭</t>
        </is>
      </c>
      <c r="C55" s="114" t="inlineStr">
        <is>
          <t>3베이 SQRT, 2베이 1.4배</t>
        </is>
      </c>
      <c r="D55" s="114" t="inlineStr">
        <is>
          <t>베이↑ 폭↓ 깊이↑ — 합리적</t>
        </is>
      </c>
      <c r="E55" s="114" t="inlineStr">
        <is>
          <t>✓ 적정</t>
        </is>
      </c>
      <c r="F55" s="114" t="inlineStr">
        <is>
          <t>변경 없음</t>
        </is>
      </c>
      <c r="G55" s="105" t="n"/>
      <c r="H55" s="106" t="n"/>
    </row>
    <row r="56" ht="15" customHeight="1" s="95">
      <c r="A56" s="114" t="n">
        <v>11</v>
      </c>
      <c r="B56" s="114" t="inlineStr">
        <is>
          <t>하드웨어 set/m</t>
        </is>
      </c>
      <c r="C56" s="114" t="inlineStr">
        <is>
          <t>m × 4.5/m</t>
        </is>
      </c>
      <c r="D56" s="114" t="inlineStr">
        <is>
          <t>주방 m당 상부 1.5+하부 3=4.5</t>
        </is>
      </c>
      <c r="E56" s="114" t="inlineStr">
        <is>
          <t>✓ 적정</t>
        </is>
      </c>
      <c r="F56" s="114" t="inlineStr">
        <is>
          <t>변경 없음</t>
        </is>
      </c>
      <c r="G56" s="105" t="n"/>
      <c r="H56" s="106" t="n"/>
    </row>
    <row r="57" ht="15" customHeight="1" s="95">
      <c r="A57" s="114" t="n">
        <v>12</v>
      </c>
      <c r="B57" s="114" t="inlineStr">
        <is>
          <t>타일팀 일수</t>
        </is>
      </c>
      <c r="C57" s="114" t="inlineStr">
        <is>
          <t>평형&lt;30:2일+이상이면+1</t>
        </is>
      </c>
      <c r="D57" s="114" t="inlineStr">
        <is>
          <t>욕실2+발코니/주방 ≈ 3~4일</t>
        </is>
      </c>
      <c r="E57" s="114" t="inlineStr">
        <is>
          <t>✓ 적정</t>
        </is>
      </c>
      <c r="F57" s="114" t="inlineStr">
        <is>
          <t>변경 없음</t>
        </is>
      </c>
      <c r="G57" s="105" t="n"/>
      <c r="H57" s="106" t="n"/>
    </row>
    <row r="58" ht="15" customHeight="1" s="95">
      <c r="A58" s="114" t="n">
        <v>13</v>
      </c>
      <c r="B58" s="114" t="inlineStr">
        <is>
          <t>스위치/콘센트 ea</t>
        </is>
      </c>
      <c r="C58" s="114" t="inlineStr">
        <is>
          <t>15평&gt;:18 등</t>
        </is>
      </c>
      <c r="D58" s="114" t="inlineStr">
        <is>
          <t>30평 30~40개 표준</t>
        </is>
      </c>
      <c r="E58" s="114" t="inlineStr">
        <is>
          <t>✓ 적정</t>
        </is>
      </c>
      <c r="F58" s="114" t="inlineStr">
        <is>
          <t>변경 없음</t>
        </is>
      </c>
      <c r="G58" s="105" t="n"/>
      <c r="H58" s="106" t="n"/>
    </row>
    <row r="59" ht="15" customHeight="1" s="95">
      <c r="A59" s="114" t="n">
        <v>14</v>
      </c>
      <c r="B59" s="114" t="inlineStr">
        <is>
          <t>무몰딩/무걸레받이</t>
        </is>
      </c>
      <c r="C59" s="114" t="inlineStr">
        <is>
          <t>㎡당 목공1만+도배0.5만</t>
        </is>
      </c>
      <c r="D59" s="114" t="inlineStr">
        <is>
          <t>시장 무몰딩 도배 +5,000/㎡</t>
        </is>
      </c>
      <c r="E59" s="114" t="inlineStr">
        <is>
          <t>✓ 정확</t>
        </is>
      </c>
      <c r="F59" s="114" t="inlineStr">
        <is>
          <t>변경 없음</t>
        </is>
      </c>
      <c r="G59" s="105" t="n"/>
      <c r="H59" s="106" t="n"/>
    </row>
    <row r="61" ht="15" customHeight="1" s="95">
      <c r="A61" s="118" t="inlineStr">
        <is>
          <t>4. 종합 결론 및 사용 가이드</t>
        </is>
      </c>
    </row>
    <row r="62" ht="60" customHeight="1" s="95">
      <c r="A62" s="114" t="inlineStr">
        <is>
          <t>▶ 총평</t>
        </is>
      </c>
      <c r="B62" s="111" t="inlineStr">
        <is>
          <t>샷시-확장 이중계산 제거 후 30평 표준 평당 200만원으로 시장 적정 범위(180~220만) 정확 위치. 25평 가성비 평당 135만, 40평 표준 평당 165만으로 평형↑ 평당↓ 자연스러운 추세 확인.</t>
        </is>
      </c>
      <c r="C62" s="105" t="n"/>
      <c r="D62" s="105" t="n"/>
      <c r="E62" s="105" t="n"/>
      <c r="F62" s="105" t="n"/>
      <c r="G62" s="105" t="n"/>
      <c r="H62" s="106" t="n"/>
    </row>
    <row r="63" ht="60" customHeight="1" s="95">
      <c r="A63" s="114" t="inlineStr">
        <is>
          <t>▶ 분리 효과</t>
        </is>
      </c>
      <c r="B63" s="111" t="inlineStr">
        <is>
          <t>확장공사 단가 -63% (43만/㎡→16만/㎡), 샷시 라인 2개로 분리 (#4 비확장부, #82 확장부 자동). 30평 표준 기준 약 490만원 절감(이중계산 제거). 정책브리핑 단가(㎡당 30~34만)와 통합 단가 정확 일치.</t>
        </is>
      </c>
      <c r="C63" s="105" t="n"/>
      <c r="D63" s="105" t="n"/>
      <c r="E63" s="105" t="n"/>
      <c r="F63" s="105" t="n"/>
      <c r="G63" s="105" t="n"/>
      <c r="H63" s="106" t="n"/>
    </row>
    <row r="64" ht="60" customHeight="1" s="95">
      <c r="A64" s="114" t="inlineStr">
        <is>
          <t>▶ 작동 방식</t>
        </is>
      </c>
      <c r="B64" s="111" t="inlineStr">
        <is>
          <t>1) 확장 ON → 라인 #82가 발코니 면적 비율로 외부창 자동 분배·샷시 자동 산정. 2) 전체 샷시 ON → 라인 #4가 비확장부 외부창 추가 산정. 3) 두 라인 모두 OFF → 샷시 0원 (확장은 골조+단열만).</t>
        </is>
      </c>
      <c r="C64" s="105" t="n"/>
      <c r="D64" s="105" t="n"/>
      <c r="E64" s="105" t="n"/>
      <c r="F64" s="105" t="n"/>
      <c r="G64" s="105" t="n"/>
      <c r="H64" s="106" t="n"/>
    </row>
    <row r="65" ht="60" customHeight="1" s="95">
      <c r="A65" s="114" t="inlineStr">
        <is>
          <t>▶ 한계</t>
        </is>
      </c>
      <c r="B65" s="111" t="inlineStr">
        <is>
          <t>1) 외부창 분배 방식은 발코니 면적 비율 가정 — 실제 도면과 차이 가능. 2) 자재마스터 단가는 시장가 추정 — SKU별 실견적 권장. 3) 부가세 별도 기준, 사다리차/단열보강은 샷시 자재단가에 일부 포함.</t>
        </is>
      </c>
      <c r="C65" s="105" t="n"/>
      <c r="D65" s="105" t="n"/>
      <c r="E65" s="105" t="n"/>
      <c r="F65" s="105" t="n"/>
      <c r="G65" s="105" t="n"/>
      <c r="H65" s="106" t="n"/>
    </row>
    <row r="66" ht="60" customHeight="1" s="95">
      <c r="A66" s="114" t="inlineStr">
        <is>
          <t>▶ 출처</t>
        </is>
      </c>
      <c r="B66" s="111" t="inlineStr">
        <is>
          <t>셀프인테리어 카페, 쓰레드/SNS (jb_interiorcreator), LX Z:IN, 오늘의집, LifeBase, AJD, 집브로, sigongplus, tilejob, 정책브리핑(발코니확장 단열창 단가), 한샘몰, 대한건축학회.</t>
        </is>
      </c>
      <c r="C66" s="105" t="n"/>
      <c r="D66" s="105" t="n"/>
      <c r="E66" s="105" t="n"/>
      <c r="F66" s="105" t="n"/>
      <c r="G66" s="105" t="n"/>
      <c r="H66" s="106" t="n"/>
    </row>
    <row r="67" ht="60" customHeight="1" s="95">
      <c r="A67" s="114" t="inlineStr">
        <is>
          <t>▶ 다음 단계</t>
        </is>
      </c>
      <c r="B67" s="111" t="inlineStr">
        <is>
          <t>1) 견적요청서 출력 → 3개 업체 비교. 2) 자재마스터 verified_by 컬럼 SKU별 실거래가 업데이트. 3) 평형DB시나리오 시트 24/34/44평 결과를 보정값으로 백테스트 후 갱신.</t>
        </is>
      </c>
      <c r="C67" s="105" t="n"/>
      <c r="D67" s="105" t="n"/>
      <c r="E67" s="105" t="n"/>
      <c r="F67" s="105" t="n"/>
      <c r="G67" s="105" t="n"/>
      <c r="H67" s="106" t="n"/>
    </row>
  </sheetData>
  <mergeCells count="28">
    <mergeCell ref="F45:H45"/>
    <mergeCell ref="B65:H65"/>
    <mergeCell ref="F50:H50"/>
    <mergeCell ref="B64:H64"/>
    <mergeCell ref="A1:H1"/>
    <mergeCell ref="A61:H61"/>
    <mergeCell ref="B63:H63"/>
    <mergeCell ref="F47:H47"/>
    <mergeCell ref="F46:H46"/>
    <mergeCell ref="F56:H56"/>
    <mergeCell ref="F58:H58"/>
    <mergeCell ref="B62:H62"/>
    <mergeCell ref="F52:H52"/>
    <mergeCell ref="F48:H48"/>
    <mergeCell ref="B66:H66"/>
    <mergeCell ref="F49:H49"/>
    <mergeCell ref="A2:H2"/>
    <mergeCell ref="F57:H57"/>
    <mergeCell ref="F53:H53"/>
    <mergeCell ref="B67:H67"/>
    <mergeCell ref="A17:H17"/>
    <mergeCell ref="A4:H4"/>
    <mergeCell ref="F54:H54"/>
    <mergeCell ref="A10:H10"/>
    <mergeCell ref="A44:H44"/>
    <mergeCell ref="F59:H59"/>
    <mergeCell ref="F55:H55"/>
    <mergeCell ref="F51:H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5.51" customWidth="1" style="94" min="1" max="1"/>
    <col width="10.09" customWidth="1" style="94" min="2" max="2"/>
    <col width="12.84" customWidth="1" style="94" min="3" max="3"/>
    <col width="38.53" customWidth="1" style="94" min="4" max="4"/>
    <col width="7.34" customWidth="1" style="94" min="5" max="6"/>
    <col width="12.84" customWidth="1" style="94" min="7" max="8"/>
  </cols>
  <sheetData>
    <row r="1" ht="36" customHeight="1" s="95">
      <c r="A1" s="118" t="inlineStr">
        <is>
          <t>공사 견적 요청서</t>
        </is>
      </c>
    </row>
    <row r="3" ht="16.15" customHeight="1" s="95">
      <c r="A3" s="96" t="inlineStr">
        <is>
          <t>▣ 현장 정보</t>
        </is>
      </c>
    </row>
    <row r="4" ht="15" customHeight="1" s="95">
      <c r="A4" s="116" t="inlineStr">
        <is>
          <t>평형</t>
        </is>
      </c>
      <c r="B4" s="116">
        <f>우리집!B8&amp;"평"</f>
        <v/>
      </c>
      <c r="C4" s="146" t="n"/>
      <c r="D4" s="147" t="n"/>
      <c r="E4" s="116" t="inlineStr">
        <is>
          <t>전용면적</t>
        </is>
      </c>
      <c r="F4" s="116">
        <f>ROUND(우리집!B15,1)&amp;"㎡"</f>
        <v/>
      </c>
      <c r="G4" s="146" t="n"/>
      <c r="H4" s="147" t="n"/>
    </row>
    <row r="5" ht="15" customHeight="1" s="95">
      <c r="A5" s="116" t="inlineStr">
        <is>
          <t>욕실 개수</t>
        </is>
      </c>
      <c r="B5" s="143">
        <f>"공용 "&amp;우리집!B11&amp;" / 부부 "&amp;우리집!B12</f>
        <v/>
      </c>
      <c r="C5" s="146" t="n"/>
      <c r="D5" s="147" t="n"/>
      <c r="E5" s="116" t="inlineStr">
        <is>
          <t>외부창 면적</t>
        </is>
      </c>
      <c r="F5" s="116">
        <f>ROUND(우리집!B16,1)&amp;"㎡"</f>
        <v/>
      </c>
      <c r="G5" s="146" t="n"/>
      <c r="H5" s="147" t="n"/>
    </row>
    <row r="6" ht="15" customHeight="1" s="95">
      <c r="A6" s="116" t="inlineStr">
        <is>
          <t>작성일</t>
        </is>
      </c>
      <c r="B6" s="143">
        <f>TEXT(TODAY(),"yyyy-mm-dd")</f>
        <v/>
      </c>
      <c r="C6" s="146" t="n"/>
      <c r="D6" s="147" t="n"/>
      <c r="E6" s="116" t="inlineStr">
        <is>
          <t>견적 회신 마감</t>
        </is>
      </c>
      <c r="F6" s="143">
        <f>TEXT(TODAY()+7,"yyyy-mm-dd")</f>
        <v/>
      </c>
      <c r="G6" s="146" t="n"/>
      <c r="H6" s="147" t="n"/>
    </row>
    <row r="8" ht="30" customHeight="1" s="95">
      <c r="A8" s="129" t="inlineStr">
        <is>
          <t>아래 표의 빈 단가 / 소계 칸을 채워서 회신해 주십시오. 수량과 자재 사양은 사전 산출되어 있으며, 변경 시에는 비고에 명시 부탁드립니다.</t>
        </is>
      </c>
    </row>
    <row r="10" ht="27.75" customHeight="1" s="95">
      <c r="A10" s="116" t="inlineStr">
        <is>
          <t>#</t>
        </is>
      </c>
      <c r="B10" s="116" t="inlineStr">
        <is>
          <t>공간</t>
        </is>
      </c>
      <c r="C10" s="116" t="inlineStr">
        <is>
          <t>공종</t>
        </is>
      </c>
      <c r="D10" s="116" t="inlineStr">
        <is>
          <t>자재 사양 (브랜드/품번/규격)</t>
        </is>
      </c>
      <c r="E10" s="116" t="inlineStr">
        <is>
          <t>수량</t>
        </is>
      </c>
      <c r="F10" s="116" t="inlineStr">
        <is>
          <t>단위</t>
        </is>
      </c>
      <c r="G10" s="116" t="inlineStr">
        <is>
          <t>단가(원)</t>
        </is>
      </c>
      <c r="H10" s="116" t="inlineStr">
        <is>
          <t>소계(원)</t>
        </is>
      </c>
    </row>
    <row r="11" ht="15" customHeight="1" s="95">
      <c r="A11" s="116">
        <f>공사비산출!A9</f>
        <v/>
      </c>
      <c r="B11" s="116">
        <f>공사비산출!B9</f>
        <v/>
      </c>
      <c r="C11" s="116">
        <f>공사비산출!C9</f>
        <v/>
      </c>
      <c r="D11" s="143">
        <f>IFERROR(VLOOKUP(공사비산출!G9,자재마스터!E:F,2,FALSE()),"-")</f>
        <v/>
      </c>
      <c r="E11" s="145">
        <f>공사비산출!E9</f>
        <v/>
      </c>
      <c r="F11" s="116">
        <f>공사비산출!D9</f>
        <v/>
      </c>
      <c r="G11" s="176" t="n"/>
      <c r="H11" s="165">
        <f>IF(G11="","",E11*G11)</f>
        <v/>
      </c>
    </row>
    <row r="12" ht="15" customHeight="1" s="95">
      <c r="A12" s="116">
        <f>공사비산출!A10</f>
        <v/>
      </c>
      <c r="B12" s="116">
        <f>공사비산출!B10</f>
        <v/>
      </c>
      <c r="C12" s="116">
        <f>공사비산출!C10</f>
        <v/>
      </c>
      <c r="D12" s="143">
        <f>IFERROR(VLOOKUP(공사비산출!G10,자재마스터!E:F,2,FALSE()),"-")</f>
        <v/>
      </c>
      <c r="E12" s="145">
        <f>공사비산출!E10</f>
        <v/>
      </c>
      <c r="F12" s="116">
        <f>공사비산출!D10</f>
        <v/>
      </c>
      <c r="G12" s="176" t="n"/>
      <c r="H12" s="165">
        <f>IF(G12="","",E12*G12)</f>
        <v/>
      </c>
    </row>
    <row r="13" ht="15" customHeight="1" s="95">
      <c r="A13" s="116">
        <f>공사비산출!A11</f>
        <v/>
      </c>
      <c r="B13" s="116">
        <f>공사비산출!B11</f>
        <v/>
      </c>
      <c r="C13" s="116">
        <f>공사비산출!C11</f>
        <v/>
      </c>
      <c r="D13" s="143">
        <f>IFERROR(VLOOKUP(공사비산출!G11,자재마스터!E:F,2,FALSE()),"-")</f>
        <v/>
      </c>
      <c r="E13" s="145">
        <f>공사비산출!E11</f>
        <v/>
      </c>
      <c r="F13" s="116">
        <f>공사비산출!D11</f>
        <v/>
      </c>
      <c r="G13" s="176" t="n"/>
      <c r="H13" s="165">
        <f>IF(G13="","",E13*G13)</f>
        <v/>
      </c>
    </row>
    <row r="14" ht="15" customHeight="1" s="95">
      <c r="A14" s="116">
        <f>공사비산출!A12</f>
        <v/>
      </c>
      <c r="B14" s="116">
        <f>공사비산출!B12</f>
        <v/>
      </c>
      <c r="C14" s="116">
        <f>공사비산출!C12</f>
        <v/>
      </c>
      <c r="D14" s="143">
        <f>IFERROR(VLOOKUP(공사비산출!G12,자재마스터!E:F,2,FALSE()),"-")</f>
        <v/>
      </c>
      <c r="E14" s="145">
        <f>공사비산출!E12</f>
        <v/>
      </c>
      <c r="F14" s="116">
        <f>공사비산출!D12</f>
        <v/>
      </c>
      <c r="G14" s="176" t="n"/>
      <c r="H14" s="165">
        <f>IF(G14="","",E14*G14)</f>
        <v/>
      </c>
    </row>
    <row r="15" ht="15" customHeight="1" s="95">
      <c r="A15" s="116">
        <f>공사비산출!A13</f>
        <v/>
      </c>
      <c r="B15" s="116">
        <f>공사비산출!B13</f>
        <v/>
      </c>
      <c r="C15" s="116">
        <f>공사비산출!C13</f>
        <v/>
      </c>
      <c r="D15" s="143">
        <f>IFERROR(VLOOKUP(공사비산출!G13,자재마스터!E:F,2,FALSE()),"-")</f>
        <v/>
      </c>
      <c r="E15" s="145">
        <f>공사비산출!E13</f>
        <v/>
      </c>
      <c r="F15" s="116">
        <f>공사비산출!D13</f>
        <v/>
      </c>
      <c r="G15" s="176" t="n"/>
      <c r="H15" s="165">
        <f>IF(G15="","",E15*G15)</f>
        <v/>
      </c>
    </row>
    <row r="16" ht="15" customHeight="1" s="95">
      <c r="A16" s="116">
        <f>공사비산출!A14</f>
        <v/>
      </c>
      <c r="B16" s="116">
        <f>공사비산출!B14</f>
        <v/>
      </c>
      <c r="C16" s="116">
        <f>공사비산출!C14</f>
        <v/>
      </c>
      <c r="D16" s="143">
        <f>IFERROR(VLOOKUP(공사비산출!G14,자재마스터!E:F,2,FALSE()),"-")</f>
        <v/>
      </c>
      <c r="E16" s="145">
        <f>공사비산출!E14</f>
        <v/>
      </c>
      <c r="F16" s="116">
        <f>공사비산출!D14</f>
        <v/>
      </c>
      <c r="G16" s="176" t="n"/>
      <c r="H16" s="165">
        <f>IF(G16="","",E16*G16)</f>
        <v/>
      </c>
    </row>
    <row r="17" ht="15" customHeight="1" s="95">
      <c r="A17" s="116">
        <f>공사비산출!A15</f>
        <v/>
      </c>
      <c r="B17" s="116">
        <f>공사비산출!B15</f>
        <v/>
      </c>
      <c r="C17" s="116">
        <f>공사비산출!C15</f>
        <v/>
      </c>
      <c r="D17" s="143">
        <f>IFERROR(VLOOKUP(공사비산출!G15,자재마스터!E:F,2,FALSE()),"-")</f>
        <v/>
      </c>
      <c r="E17" s="145">
        <f>공사비산출!E15</f>
        <v/>
      </c>
      <c r="F17" s="116">
        <f>공사비산출!D15</f>
        <v/>
      </c>
      <c r="G17" s="176" t="n"/>
      <c r="H17" s="165">
        <f>IF(G17="","",E17*G17)</f>
        <v/>
      </c>
    </row>
    <row r="18" ht="15" customHeight="1" s="95">
      <c r="A18" s="116">
        <f>공사비산출!A16</f>
        <v/>
      </c>
      <c r="B18" s="116">
        <f>공사비산출!B16</f>
        <v/>
      </c>
      <c r="C18" s="116">
        <f>공사비산출!C16</f>
        <v/>
      </c>
      <c r="D18" s="143">
        <f>IFERROR(VLOOKUP(공사비산출!G16,자재마스터!E:F,2,FALSE()),"-")</f>
        <v/>
      </c>
      <c r="E18" s="145">
        <f>공사비산출!E16</f>
        <v/>
      </c>
      <c r="F18" s="116">
        <f>공사비산출!D16</f>
        <v/>
      </c>
      <c r="G18" s="176" t="n"/>
      <c r="H18" s="165">
        <f>IF(G18="","",E18*G18)</f>
        <v/>
      </c>
    </row>
    <row r="19" ht="15" customHeight="1" s="95">
      <c r="A19" s="116">
        <f>공사비산출!A17</f>
        <v/>
      </c>
      <c r="B19" s="116">
        <f>공사비산출!B17</f>
        <v/>
      </c>
      <c r="C19" s="116">
        <f>공사비산출!C17</f>
        <v/>
      </c>
      <c r="D19" s="143">
        <f>IFERROR(VLOOKUP(공사비산출!G17,자재마스터!E:F,2,FALSE()),"-")</f>
        <v/>
      </c>
      <c r="E19" s="145">
        <f>공사비산출!E17</f>
        <v/>
      </c>
      <c r="F19" s="116">
        <f>공사비산출!D17</f>
        <v/>
      </c>
      <c r="G19" s="176" t="n"/>
      <c r="H19" s="165">
        <f>IF(G19="","",E19*G19)</f>
        <v/>
      </c>
    </row>
    <row r="20" ht="15" customHeight="1" s="95">
      <c r="A20" s="116">
        <f>공사비산출!A18</f>
        <v/>
      </c>
      <c r="B20" s="116">
        <f>공사비산출!B18</f>
        <v/>
      </c>
      <c r="C20" s="116">
        <f>공사비산출!C18</f>
        <v/>
      </c>
      <c r="D20" s="143">
        <f>IFERROR(VLOOKUP(공사비산출!G18,자재마스터!E:F,2,FALSE()),"-")</f>
        <v/>
      </c>
      <c r="E20" s="145">
        <f>공사비산출!E18</f>
        <v/>
      </c>
      <c r="F20" s="116">
        <f>공사비산출!D18</f>
        <v/>
      </c>
      <c r="G20" s="176" t="n"/>
      <c r="H20" s="165">
        <f>IF(G20="","",E20*G20)</f>
        <v/>
      </c>
    </row>
    <row r="21" ht="15" customHeight="1" s="95">
      <c r="A21" s="116">
        <f>공사비산출!A19</f>
        <v/>
      </c>
      <c r="B21" s="116">
        <f>공사비산출!B19</f>
        <v/>
      </c>
      <c r="C21" s="116">
        <f>공사비산출!C19</f>
        <v/>
      </c>
      <c r="D21" s="143">
        <f>IFERROR(VLOOKUP(공사비산출!G19,자재마스터!E:F,2,FALSE()),"-")</f>
        <v/>
      </c>
      <c r="E21" s="145">
        <f>공사비산출!E19</f>
        <v/>
      </c>
      <c r="F21" s="116">
        <f>공사비산출!D19</f>
        <v/>
      </c>
      <c r="G21" s="176" t="n"/>
      <c r="H21" s="165">
        <f>IF(G21="","",E21*G21)</f>
        <v/>
      </c>
    </row>
    <row r="22" ht="15" customHeight="1" s="95">
      <c r="A22" s="116">
        <f>공사비산출!A20</f>
        <v/>
      </c>
      <c r="B22" s="116">
        <f>공사비산출!B20</f>
        <v/>
      </c>
      <c r="C22" s="116">
        <f>공사비산출!C20</f>
        <v/>
      </c>
      <c r="D22" s="143">
        <f>IFERROR(VLOOKUP(공사비산출!G20,자재마스터!E:F,2,FALSE()),"-")</f>
        <v/>
      </c>
      <c r="E22" s="145">
        <f>공사비산출!E20</f>
        <v/>
      </c>
      <c r="F22" s="116">
        <f>공사비산출!D20</f>
        <v/>
      </c>
      <c r="G22" s="176" t="n"/>
      <c r="H22" s="165">
        <f>IF(G22="","",E22*G22)</f>
        <v/>
      </c>
    </row>
    <row r="23" ht="15" customHeight="1" s="95">
      <c r="A23" s="116">
        <f>공사비산출!A21</f>
        <v/>
      </c>
      <c r="B23" s="116">
        <f>공사비산출!B21</f>
        <v/>
      </c>
      <c r="C23" s="116">
        <f>공사비산출!C21</f>
        <v/>
      </c>
      <c r="D23" s="143">
        <f>IFERROR(VLOOKUP(공사비산출!G21,자재마스터!E:F,2,FALSE()),"-")</f>
        <v/>
      </c>
      <c r="E23" s="145">
        <f>공사비산출!E21</f>
        <v/>
      </c>
      <c r="F23" s="116">
        <f>공사비산출!D21</f>
        <v/>
      </c>
      <c r="G23" s="176" t="n"/>
      <c r="H23" s="165">
        <f>IF(G23="","",E23*G23)</f>
        <v/>
      </c>
    </row>
    <row r="24" ht="15" customHeight="1" s="95">
      <c r="A24" s="116">
        <f>공사비산출!A22</f>
        <v/>
      </c>
      <c r="B24" s="116">
        <f>공사비산출!B22</f>
        <v/>
      </c>
      <c r="C24" s="116">
        <f>공사비산출!C22</f>
        <v/>
      </c>
      <c r="D24" s="143">
        <f>IFERROR(VLOOKUP(공사비산출!G22,자재마스터!E:F,2,FALSE()),"-")</f>
        <v/>
      </c>
      <c r="E24" s="145">
        <f>공사비산출!E22</f>
        <v/>
      </c>
      <c r="F24" s="116">
        <f>공사비산출!D22</f>
        <v/>
      </c>
      <c r="G24" s="176" t="n"/>
      <c r="H24" s="165">
        <f>IF(G24="","",E24*G24)</f>
        <v/>
      </c>
    </row>
    <row r="25" ht="15" customHeight="1" s="95">
      <c r="A25" s="116">
        <f>공사비산출!A23</f>
        <v/>
      </c>
      <c r="B25" s="116">
        <f>공사비산출!B23</f>
        <v/>
      </c>
      <c r="C25" s="116">
        <f>공사비산출!C23</f>
        <v/>
      </c>
      <c r="D25" s="143">
        <f>IFERROR(VLOOKUP(공사비산출!G23,자재마스터!E:F,2,FALSE()),"-")</f>
        <v/>
      </c>
      <c r="E25" s="145">
        <f>공사비산출!E23</f>
        <v/>
      </c>
      <c r="F25" s="116">
        <f>공사비산출!D23</f>
        <v/>
      </c>
      <c r="G25" s="176" t="n"/>
      <c r="H25" s="165">
        <f>IF(G25="","",E25*G25)</f>
        <v/>
      </c>
    </row>
    <row r="26" ht="15" customHeight="1" s="95">
      <c r="A26" s="116">
        <f>공사비산출!A24</f>
        <v/>
      </c>
      <c r="B26" s="116">
        <f>공사비산출!B24</f>
        <v/>
      </c>
      <c r="C26" s="116">
        <f>공사비산출!C24</f>
        <v/>
      </c>
      <c r="D26" s="143">
        <f>IFERROR(VLOOKUP(공사비산출!G24,자재마스터!E:F,2,FALSE()),"-")</f>
        <v/>
      </c>
      <c r="E26" s="145">
        <f>공사비산출!E24</f>
        <v/>
      </c>
      <c r="F26" s="116">
        <f>공사비산출!D24</f>
        <v/>
      </c>
      <c r="G26" s="176" t="n"/>
      <c r="H26" s="165">
        <f>IF(G26="","",E26*G26)</f>
        <v/>
      </c>
    </row>
    <row r="27" ht="15" customHeight="1" s="95">
      <c r="A27" s="116">
        <f>공사비산출!A25</f>
        <v/>
      </c>
      <c r="B27" s="116">
        <f>공사비산출!B25</f>
        <v/>
      </c>
      <c r="C27" s="116">
        <f>공사비산출!C25</f>
        <v/>
      </c>
      <c r="D27" s="143">
        <f>IFERROR(VLOOKUP(공사비산출!G25,자재마스터!E:F,2,FALSE()),"-")</f>
        <v/>
      </c>
      <c r="E27" s="145">
        <f>공사비산출!E25</f>
        <v/>
      </c>
      <c r="F27" s="116">
        <f>공사비산출!D25</f>
        <v/>
      </c>
      <c r="G27" s="176" t="n"/>
      <c r="H27" s="165">
        <f>IF(G27="","",E27*G27)</f>
        <v/>
      </c>
    </row>
    <row r="28" ht="15" customHeight="1" s="95">
      <c r="A28" s="116">
        <f>공사비산출!A26</f>
        <v/>
      </c>
      <c r="B28" s="116">
        <f>공사비산출!B26</f>
        <v/>
      </c>
      <c r="C28" s="116">
        <f>공사비산출!C26</f>
        <v/>
      </c>
      <c r="D28" s="143">
        <f>IFERROR(VLOOKUP(공사비산출!G26,자재마스터!E:F,2,FALSE()),"-")</f>
        <v/>
      </c>
      <c r="E28" s="145">
        <f>공사비산출!E26</f>
        <v/>
      </c>
      <c r="F28" s="116">
        <f>공사비산출!D26</f>
        <v/>
      </c>
      <c r="G28" s="176" t="n"/>
      <c r="H28" s="165">
        <f>IF(G28="","",E28*G28)</f>
        <v/>
      </c>
    </row>
    <row r="29" ht="15" customHeight="1" s="95">
      <c r="A29" s="116">
        <f>공사비산출!A27</f>
        <v/>
      </c>
      <c r="B29" s="116">
        <f>공사비산출!B27</f>
        <v/>
      </c>
      <c r="C29" s="116">
        <f>공사비산출!C27</f>
        <v/>
      </c>
      <c r="D29" s="143">
        <f>IFERROR(VLOOKUP(공사비산출!G27,자재마스터!E:F,2,FALSE()),"-")</f>
        <v/>
      </c>
      <c r="E29" s="145">
        <f>공사비산출!E27</f>
        <v/>
      </c>
      <c r="F29" s="116">
        <f>공사비산출!D27</f>
        <v/>
      </c>
      <c r="G29" s="176" t="n"/>
      <c r="H29" s="165">
        <f>IF(G29="","",E29*G29)</f>
        <v/>
      </c>
    </row>
    <row r="30" ht="15" customHeight="1" s="95">
      <c r="A30" s="116">
        <f>공사비산출!A28</f>
        <v/>
      </c>
      <c r="B30" s="116">
        <f>공사비산출!B28</f>
        <v/>
      </c>
      <c r="C30" s="116">
        <f>공사비산출!C28</f>
        <v/>
      </c>
      <c r="D30" s="143">
        <f>IFERROR(VLOOKUP(공사비산출!G28,자재마스터!E:F,2,FALSE()),"-")</f>
        <v/>
      </c>
      <c r="E30" s="145">
        <f>공사비산출!E28</f>
        <v/>
      </c>
      <c r="F30" s="116">
        <f>공사비산출!D28</f>
        <v/>
      </c>
      <c r="G30" s="176" t="n"/>
      <c r="H30" s="165">
        <f>IF(G30="","",E30*G30)</f>
        <v/>
      </c>
    </row>
    <row r="31" ht="15" customHeight="1" s="95">
      <c r="A31" s="116">
        <f>공사비산출!A29</f>
        <v/>
      </c>
      <c r="B31" s="116">
        <f>공사비산출!B29</f>
        <v/>
      </c>
      <c r="C31" s="116">
        <f>공사비산출!C29</f>
        <v/>
      </c>
      <c r="D31" s="143">
        <f>IFERROR(VLOOKUP(공사비산출!G29,자재마스터!E:F,2,FALSE()),"-")</f>
        <v/>
      </c>
      <c r="E31" s="145">
        <f>공사비산출!E29</f>
        <v/>
      </c>
      <c r="F31" s="116">
        <f>공사비산출!D29</f>
        <v/>
      </c>
      <c r="G31" s="176" t="n"/>
      <c r="H31" s="165">
        <f>IF(G31="","",E31*G31)</f>
        <v/>
      </c>
    </row>
    <row r="32" ht="15" customHeight="1" s="95">
      <c r="A32" s="116">
        <f>공사비산출!A30</f>
        <v/>
      </c>
      <c r="B32" s="116">
        <f>공사비산출!B30</f>
        <v/>
      </c>
      <c r="C32" s="116">
        <f>공사비산출!C30</f>
        <v/>
      </c>
      <c r="D32" s="143">
        <f>IFERROR(VLOOKUP(공사비산출!G30,자재마스터!E:F,2,FALSE()),"-")</f>
        <v/>
      </c>
      <c r="E32" s="145">
        <f>공사비산출!E30</f>
        <v/>
      </c>
      <c r="F32" s="116">
        <f>공사비산출!D30</f>
        <v/>
      </c>
      <c r="G32" s="176" t="n"/>
      <c r="H32" s="165">
        <f>IF(G32="","",E32*G32)</f>
        <v/>
      </c>
    </row>
    <row r="33" ht="15" customHeight="1" s="95">
      <c r="A33" s="116">
        <f>공사비산출!A31</f>
        <v/>
      </c>
      <c r="B33" s="116">
        <f>공사비산출!B31</f>
        <v/>
      </c>
      <c r="C33" s="116">
        <f>공사비산출!C31</f>
        <v/>
      </c>
      <c r="D33" s="143">
        <f>IFERROR(VLOOKUP(공사비산출!G31,자재마스터!E:F,2,FALSE()),"-")</f>
        <v/>
      </c>
      <c r="E33" s="145">
        <f>공사비산출!E31</f>
        <v/>
      </c>
      <c r="F33" s="116">
        <f>공사비산출!D31</f>
        <v/>
      </c>
      <c r="G33" s="176" t="n"/>
      <c r="H33" s="165">
        <f>IF(G33="","",E33*G33)</f>
        <v/>
      </c>
    </row>
    <row r="34" ht="15" customHeight="1" s="95">
      <c r="A34" s="116">
        <f>공사비산출!A32</f>
        <v/>
      </c>
      <c r="B34" s="116">
        <f>공사비산출!B32</f>
        <v/>
      </c>
      <c r="C34" s="116">
        <f>공사비산출!C32</f>
        <v/>
      </c>
      <c r="D34" s="143">
        <f>IFERROR(VLOOKUP(공사비산출!G32,자재마스터!E:F,2,FALSE()),"-")</f>
        <v/>
      </c>
      <c r="E34" s="145">
        <f>공사비산출!E32</f>
        <v/>
      </c>
      <c r="F34" s="116">
        <f>공사비산출!D32</f>
        <v/>
      </c>
      <c r="G34" s="176" t="n"/>
      <c r="H34" s="165">
        <f>IF(G34="","",E34*G34)</f>
        <v/>
      </c>
    </row>
    <row r="35" ht="15" customHeight="1" s="95">
      <c r="A35" s="116">
        <f>공사비산출!A33</f>
        <v/>
      </c>
      <c r="B35" s="116">
        <f>공사비산출!B33</f>
        <v/>
      </c>
      <c r="C35" s="116">
        <f>공사비산출!C33</f>
        <v/>
      </c>
      <c r="D35" s="143">
        <f>IFERROR(VLOOKUP(공사비산출!G33,자재마스터!E:F,2,FALSE()),"-")</f>
        <v/>
      </c>
      <c r="E35" s="145">
        <f>공사비산출!E33</f>
        <v/>
      </c>
      <c r="F35" s="116">
        <f>공사비산출!D33</f>
        <v/>
      </c>
      <c r="G35" s="176" t="n"/>
      <c r="H35" s="165">
        <f>IF(G35="","",E35*G35)</f>
        <v/>
      </c>
    </row>
    <row r="36" ht="15" customHeight="1" s="95">
      <c r="A36" s="116">
        <f>공사비산출!A34</f>
        <v/>
      </c>
      <c r="B36" s="116">
        <f>공사비산출!B34</f>
        <v/>
      </c>
      <c r="C36" s="116">
        <f>공사비산출!C34</f>
        <v/>
      </c>
      <c r="D36" s="143">
        <f>IFERROR(VLOOKUP(공사비산출!G34,자재마스터!E:F,2,FALSE()),"-")</f>
        <v/>
      </c>
      <c r="E36" s="145">
        <f>공사비산출!E34</f>
        <v/>
      </c>
      <c r="F36" s="116">
        <f>공사비산출!D34</f>
        <v/>
      </c>
      <c r="G36" s="176" t="n"/>
      <c r="H36" s="165">
        <f>IF(G36="","",E36*G36)</f>
        <v/>
      </c>
    </row>
    <row r="37" ht="15" customHeight="1" s="95">
      <c r="A37" s="116">
        <f>공사비산출!A35</f>
        <v/>
      </c>
      <c r="B37" s="116">
        <f>공사비산출!B35</f>
        <v/>
      </c>
      <c r="C37" s="116">
        <f>공사비산출!C35</f>
        <v/>
      </c>
      <c r="D37" s="143">
        <f>IFERROR(VLOOKUP(공사비산출!G35,자재마스터!E:F,2,FALSE()),"-")</f>
        <v/>
      </c>
      <c r="E37" s="145">
        <f>공사비산출!E35</f>
        <v/>
      </c>
      <c r="F37" s="116">
        <f>공사비산출!D35</f>
        <v/>
      </c>
      <c r="G37" s="176" t="n"/>
      <c r="H37" s="165">
        <f>IF(G37="","",E37*G37)</f>
        <v/>
      </c>
    </row>
    <row r="38" ht="15" customHeight="1" s="95">
      <c r="A38" s="116">
        <f>공사비산출!A36</f>
        <v/>
      </c>
      <c r="B38" s="116">
        <f>공사비산출!B36</f>
        <v/>
      </c>
      <c r="C38" s="116">
        <f>공사비산출!C36</f>
        <v/>
      </c>
      <c r="D38" s="143">
        <f>IFERROR(VLOOKUP(공사비산출!G36,자재마스터!E:F,2,FALSE()),"-")</f>
        <v/>
      </c>
      <c r="E38" s="145">
        <f>공사비산출!E36</f>
        <v/>
      </c>
      <c r="F38" s="116">
        <f>공사비산출!D36</f>
        <v/>
      </c>
      <c r="G38" s="176" t="n"/>
      <c r="H38" s="165">
        <f>IF(G38="","",E38*G38)</f>
        <v/>
      </c>
    </row>
    <row r="39" ht="15" customHeight="1" s="95">
      <c r="A39" s="116">
        <f>공사비산출!A37</f>
        <v/>
      </c>
      <c r="B39" s="116">
        <f>공사비산출!B37</f>
        <v/>
      </c>
      <c r="C39" s="116">
        <f>공사비산출!C37</f>
        <v/>
      </c>
      <c r="D39" s="143">
        <f>IFERROR(VLOOKUP(공사비산출!G37,자재마스터!E:F,2,FALSE()),"-")</f>
        <v/>
      </c>
      <c r="E39" s="145">
        <f>공사비산출!E37</f>
        <v/>
      </c>
      <c r="F39" s="116">
        <f>공사비산출!D37</f>
        <v/>
      </c>
      <c r="G39" s="176" t="n"/>
      <c r="H39" s="165">
        <f>IF(G39="","",E39*G39)</f>
        <v/>
      </c>
    </row>
    <row r="40" ht="15" customHeight="1" s="95">
      <c r="A40" s="116">
        <f>공사비산출!A38</f>
        <v/>
      </c>
      <c r="B40" s="116">
        <f>공사비산출!B38</f>
        <v/>
      </c>
      <c r="C40" s="116">
        <f>공사비산출!C38</f>
        <v/>
      </c>
      <c r="D40" s="143">
        <f>IFERROR(VLOOKUP(공사비산출!G38,자재마스터!E:F,2,FALSE()),"-")</f>
        <v/>
      </c>
      <c r="E40" s="145">
        <f>공사비산출!E38</f>
        <v/>
      </c>
      <c r="F40" s="116">
        <f>공사비산출!D38</f>
        <v/>
      </c>
      <c r="G40" s="176" t="n"/>
      <c r="H40" s="165">
        <f>IF(G40="","",E40*G40)</f>
        <v/>
      </c>
    </row>
    <row r="41" ht="15" customHeight="1" s="95">
      <c r="A41" s="116">
        <f>공사비산출!A39</f>
        <v/>
      </c>
      <c r="B41" s="116">
        <f>공사비산출!B39</f>
        <v/>
      </c>
      <c r="C41" s="116">
        <f>공사비산출!C39</f>
        <v/>
      </c>
      <c r="D41" s="143">
        <f>IFERROR(VLOOKUP(공사비산출!G39,자재마스터!E:F,2,FALSE()),"-")</f>
        <v/>
      </c>
      <c r="E41" s="145">
        <f>공사비산출!E39</f>
        <v/>
      </c>
      <c r="F41" s="116">
        <f>공사비산출!D39</f>
        <v/>
      </c>
      <c r="G41" s="176" t="n"/>
      <c r="H41" s="165">
        <f>IF(G41="","",E41*G41)</f>
        <v/>
      </c>
    </row>
    <row r="42" ht="15" customHeight="1" s="95">
      <c r="A42" s="116">
        <f>공사비산출!A40</f>
        <v/>
      </c>
      <c r="B42" s="116">
        <f>공사비산출!B40</f>
        <v/>
      </c>
      <c r="C42" s="116">
        <f>공사비산출!C40</f>
        <v/>
      </c>
      <c r="D42" s="143">
        <f>IFERROR(VLOOKUP(공사비산출!G40,자재마스터!E:F,2,FALSE()),"-")</f>
        <v/>
      </c>
      <c r="E42" s="145">
        <f>공사비산출!E40</f>
        <v/>
      </c>
      <c r="F42" s="116">
        <f>공사비산출!D40</f>
        <v/>
      </c>
      <c r="G42" s="176" t="n"/>
      <c r="H42" s="165">
        <f>IF(G42="","",E42*G42)</f>
        <v/>
      </c>
    </row>
    <row r="43" ht="15" customHeight="1" s="95">
      <c r="A43" s="116">
        <f>공사비산출!A41</f>
        <v/>
      </c>
      <c r="B43" s="116">
        <f>공사비산출!B41</f>
        <v/>
      </c>
      <c r="C43" s="116">
        <f>공사비산출!C41</f>
        <v/>
      </c>
      <c r="D43" s="143">
        <f>IFERROR(VLOOKUP(공사비산출!G41,자재마스터!E:F,2,FALSE()),"-")</f>
        <v/>
      </c>
      <c r="E43" s="145">
        <f>공사비산출!E41</f>
        <v/>
      </c>
      <c r="F43" s="116">
        <f>공사비산출!D41</f>
        <v/>
      </c>
      <c r="G43" s="176" t="n"/>
      <c r="H43" s="165">
        <f>IF(G43="","",E43*G43)</f>
        <v/>
      </c>
    </row>
    <row r="44" ht="15" customHeight="1" s="95">
      <c r="A44" s="116">
        <f>공사비산출!A42</f>
        <v/>
      </c>
      <c r="B44" s="116">
        <f>공사비산출!B42</f>
        <v/>
      </c>
      <c r="C44" s="116">
        <f>공사비산출!C42</f>
        <v/>
      </c>
      <c r="D44" s="143">
        <f>IFERROR(VLOOKUP(공사비산출!G42,자재마스터!E:F,2,FALSE()),"-")</f>
        <v/>
      </c>
      <c r="E44" s="145">
        <f>공사비산출!E42</f>
        <v/>
      </c>
      <c r="F44" s="116">
        <f>공사비산출!D42</f>
        <v/>
      </c>
      <c r="G44" s="176" t="n"/>
      <c r="H44" s="165">
        <f>IF(G44="","",E44*G44)</f>
        <v/>
      </c>
    </row>
    <row r="45" ht="15" customHeight="1" s="95">
      <c r="A45" s="116">
        <f>공사비산출!A43</f>
        <v/>
      </c>
      <c r="B45" s="116">
        <f>공사비산출!B43</f>
        <v/>
      </c>
      <c r="C45" s="116">
        <f>공사비산출!C43</f>
        <v/>
      </c>
      <c r="D45" s="143">
        <f>IFERROR(VLOOKUP(공사비산출!G43,자재마스터!E:F,2,FALSE()),"-")</f>
        <v/>
      </c>
      <c r="E45" s="145">
        <f>공사비산출!E43</f>
        <v/>
      </c>
      <c r="F45" s="116">
        <f>공사비산출!D43</f>
        <v/>
      </c>
      <c r="G45" s="176" t="n"/>
      <c r="H45" s="165">
        <f>IF(G45="","",E45*G45)</f>
        <v/>
      </c>
    </row>
    <row r="46" ht="15" customHeight="1" s="95">
      <c r="A46" s="116">
        <f>공사비산출!A44</f>
        <v/>
      </c>
      <c r="B46" s="116">
        <f>공사비산출!B44</f>
        <v/>
      </c>
      <c r="C46" s="116">
        <f>공사비산출!C44</f>
        <v/>
      </c>
      <c r="D46" s="143">
        <f>IFERROR(VLOOKUP(공사비산출!G44,자재마스터!E:F,2,FALSE()),"-")</f>
        <v/>
      </c>
      <c r="E46" s="145">
        <f>공사비산출!E44</f>
        <v/>
      </c>
      <c r="F46" s="116">
        <f>공사비산출!D44</f>
        <v/>
      </c>
      <c r="G46" s="176" t="n"/>
      <c r="H46" s="165">
        <f>IF(G46="","",E46*G46)</f>
        <v/>
      </c>
    </row>
    <row r="47" ht="15" customHeight="1" s="95">
      <c r="A47" s="116">
        <f>공사비산출!A45</f>
        <v/>
      </c>
      <c r="B47" s="116">
        <f>공사비산출!B45</f>
        <v/>
      </c>
      <c r="C47" s="116">
        <f>공사비산출!C45</f>
        <v/>
      </c>
      <c r="D47" s="143">
        <f>IFERROR(VLOOKUP(공사비산출!G45,자재마스터!E:F,2,FALSE()),"-")</f>
        <v/>
      </c>
      <c r="E47" s="145">
        <f>공사비산출!E45</f>
        <v/>
      </c>
      <c r="F47" s="116">
        <f>공사비산출!D45</f>
        <v/>
      </c>
      <c r="G47" s="176" t="n"/>
      <c r="H47" s="165">
        <f>IF(G47="","",E47*G47)</f>
        <v/>
      </c>
    </row>
    <row r="48" ht="15" customHeight="1" s="95">
      <c r="A48" s="116">
        <f>공사비산출!A46</f>
        <v/>
      </c>
      <c r="B48" s="116">
        <f>공사비산출!B46</f>
        <v/>
      </c>
      <c r="C48" s="116">
        <f>공사비산출!C46</f>
        <v/>
      </c>
      <c r="D48" s="143">
        <f>IFERROR(VLOOKUP(공사비산출!G46,자재마스터!E:F,2,FALSE()),"-")</f>
        <v/>
      </c>
      <c r="E48" s="145">
        <f>공사비산출!E46</f>
        <v/>
      </c>
      <c r="F48" s="116">
        <f>공사비산출!D46</f>
        <v/>
      </c>
      <c r="G48" s="176" t="n"/>
      <c r="H48" s="165">
        <f>IF(G48="","",E48*G48)</f>
        <v/>
      </c>
    </row>
    <row r="49" ht="15" customHeight="1" s="95">
      <c r="A49" s="116">
        <f>공사비산출!A47</f>
        <v/>
      </c>
      <c r="B49" s="116">
        <f>공사비산출!B47</f>
        <v/>
      </c>
      <c r="C49" s="116">
        <f>공사비산출!C47</f>
        <v/>
      </c>
      <c r="D49" s="143">
        <f>IFERROR(VLOOKUP(공사비산출!G47,자재마스터!E:F,2,FALSE()),"-")</f>
        <v/>
      </c>
      <c r="E49" s="145">
        <f>공사비산출!E47</f>
        <v/>
      </c>
      <c r="F49" s="116">
        <f>공사비산출!D47</f>
        <v/>
      </c>
      <c r="G49" s="176" t="n"/>
      <c r="H49" s="165">
        <f>IF(G49="","",E49*G49)</f>
        <v/>
      </c>
    </row>
    <row r="50" ht="15" customHeight="1" s="95">
      <c r="A50" s="116">
        <f>공사비산출!A48</f>
        <v/>
      </c>
      <c r="B50" s="116">
        <f>공사비산출!B48</f>
        <v/>
      </c>
      <c r="C50" s="116">
        <f>공사비산출!C48</f>
        <v/>
      </c>
      <c r="D50" s="143">
        <f>IFERROR(VLOOKUP(공사비산출!G48,자재마스터!E:F,2,FALSE()),"-")</f>
        <v/>
      </c>
      <c r="E50" s="145">
        <f>공사비산출!E48</f>
        <v/>
      </c>
      <c r="F50" s="116">
        <f>공사비산출!D48</f>
        <v/>
      </c>
      <c r="G50" s="176" t="n"/>
      <c r="H50" s="165">
        <f>IF(G50="","",E50*G50)</f>
        <v/>
      </c>
    </row>
    <row r="51" ht="15" customHeight="1" s="95">
      <c r="A51" s="116">
        <f>공사비산출!A49</f>
        <v/>
      </c>
      <c r="B51" s="116">
        <f>공사비산출!B49</f>
        <v/>
      </c>
      <c r="C51" s="116">
        <f>공사비산출!C49</f>
        <v/>
      </c>
      <c r="D51" s="143">
        <f>IFERROR(VLOOKUP(공사비산출!G49,자재마스터!E:F,2,FALSE()),"-")</f>
        <v/>
      </c>
      <c r="E51" s="145">
        <f>공사비산출!E49</f>
        <v/>
      </c>
      <c r="F51" s="116">
        <f>공사비산출!D49</f>
        <v/>
      </c>
      <c r="G51" s="176" t="n"/>
      <c r="H51" s="165">
        <f>IF(G51="","",E51*G51)</f>
        <v/>
      </c>
    </row>
    <row r="52" ht="15" customHeight="1" s="95">
      <c r="A52" s="116">
        <f>공사비산출!A50</f>
        <v/>
      </c>
      <c r="B52" s="116">
        <f>공사비산출!B50</f>
        <v/>
      </c>
      <c r="C52" s="116">
        <f>공사비산출!C50</f>
        <v/>
      </c>
      <c r="D52" s="143">
        <f>IFERROR(VLOOKUP(공사비산출!G50,자재마스터!E:F,2,FALSE()),"-")</f>
        <v/>
      </c>
      <c r="E52" s="145">
        <f>공사비산출!E50</f>
        <v/>
      </c>
      <c r="F52" s="116">
        <f>공사비산출!D50</f>
        <v/>
      </c>
      <c r="G52" s="176" t="n"/>
      <c r="H52" s="165">
        <f>IF(G52="","",E52*G52)</f>
        <v/>
      </c>
    </row>
    <row r="53" ht="15" customHeight="1" s="95">
      <c r="A53" s="116">
        <f>공사비산출!A51</f>
        <v/>
      </c>
      <c r="B53" s="116">
        <f>공사비산출!B51</f>
        <v/>
      </c>
      <c r="C53" s="116">
        <f>공사비산출!C51</f>
        <v/>
      </c>
      <c r="D53" s="143">
        <f>IFERROR(VLOOKUP(공사비산출!G51,자재마스터!E:F,2,FALSE()),"-")</f>
        <v/>
      </c>
      <c r="E53" s="145">
        <f>공사비산출!E51</f>
        <v/>
      </c>
      <c r="F53" s="116">
        <f>공사비산출!D51</f>
        <v/>
      </c>
      <c r="G53" s="176" t="n"/>
      <c r="H53" s="165">
        <f>IF(G53="","",E53*G53)</f>
        <v/>
      </c>
    </row>
    <row r="54" ht="15" customHeight="1" s="95">
      <c r="A54" s="116">
        <f>공사비산출!A52</f>
        <v/>
      </c>
      <c r="B54" s="116">
        <f>공사비산출!B52</f>
        <v/>
      </c>
      <c r="C54" s="116">
        <f>공사비산출!C52</f>
        <v/>
      </c>
      <c r="D54" s="143">
        <f>IFERROR(VLOOKUP(공사비산출!G52,자재마스터!E:F,2,FALSE()),"-")</f>
        <v/>
      </c>
      <c r="E54" s="145">
        <f>공사비산출!E52</f>
        <v/>
      </c>
      <c r="F54" s="116">
        <f>공사비산출!D52</f>
        <v/>
      </c>
      <c r="G54" s="176" t="n"/>
      <c r="H54" s="165">
        <f>IF(G54="","",E54*G54)</f>
        <v/>
      </c>
    </row>
    <row r="55" ht="15" customHeight="1" s="95">
      <c r="A55" s="116">
        <f>공사비산출!A53</f>
        <v/>
      </c>
      <c r="B55" s="116">
        <f>공사비산출!B53</f>
        <v/>
      </c>
      <c r="C55" s="116">
        <f>공사비산출!C53</f>
        <v/>
      </c>
      <c r="D55" s="143">
        <f>IFERROR(VLOOKUP(공사비산출!G53,자재마스터!E:F,2,FALSE()),"-")</f>
        <v/>
      </c>
      <c r="E55" s="145">
        <f>공사비산출!E53</f>
        <v/>
      </c>
      <c r="F55" s="116">
        <f>공사비산출!D53</f>
        <v/>
      </c>
      <c r="G55" s="176" t="n"/>
      <c r="H55" s="165">
        <f>IF(G55="","",E55*G55)</f>
        <v/>
      </c>
    </row>
    <row r="56" ht="15" customHeight="1" s="95">
      <c r="A56" s="116">
        <f>공사비산출!A54</f>
        <v/>
      </c>
      <c r="B56" s="116">
        <f>공사비산출!B54</f>
        <v/>
      </c>
      <c r="C56" s="116">
        <f>공사비산출!C54</f>
        <v/>
      </c>
      <c r="D56" s="143">
        <f>IFERROR(VLOOKUP(공사비산출!G54,자재마스터!E:F,2,FALSE()),"-")</f>
        <v/>
      </c>
      <c r="E56" s="145">
        <f>공사비산출!E54</f>
        <v/>
      </c>
      <c r="F56" s="116">
        <f>공사비산출!D54</f>
        <v/>
      </c>
      <c r="G56" s="176" t="n"/>
      <c r="H56" s="165">
        <f>IF(G56="","",E56*G56)</f>
        <v/>
      </c>
    </row>
    <row r="57" ht="15" customHeight="1" s="95">
      <c r="A57" s="116">
        <f>공사비산출!A55</f>
        <v/>
      </c>
      <c r="B57" s="116">
        <f>공사비산출!B55</f>
        <v/>
      </c>
      <c r="C57" s="116">
        <f>공사비산출!C55</f>
        <v/>
      </c>
      <c r="D57" s="143">
        <f>IFERROR(VLOOKUP(공사비산출!G55,자재마스터!E:F,2,FALSE()),"-")</f>
        <v/>
      </c>
      <c r="E57" s="145">
        <f>공사비산출!E55</f>
        <v/>
      </c>
      <c r="F57" s="116">
        <f>공사비산출!D55</f>
        <v/>
      </c>
      <c r="G57" s="176" t="n"/>
      <c r="H57" s="165">
        <f>IF(G57="","",E57*G57)</f>
        <v/>
      </c>
    </row>
    <row r="58" ht="15" customHeight="1" s="95">
      <c r="A58" s="116">
        <f>공사비산출!A56</f>
        <v/>
      </c>
      <c r="B58" s="116">
        <f>공사비산출!B56</f>
        <v/>
      </c>
      <c r="C58" s="116">
        <f>공사비산출!C56</f>
        <v/>
      </c>
      <c r="D58" s="143">
        <f>IFERROR(VLOOKUP(공사비산출!G56,자재마스터!E:F,2,FALSE()),"-")</f>
        <v/>
      </c>
      <c r="E58" s="145">
        <f>공사비산출!E56</f>
        <v/>
      </c>
      <c r="F58" s="116">
        <f>공사비산출!D56</f>
        <v/>
      </c>
      <c r="G58" s="176" t="n"/>
      <c r="H58" s="165">
        <f>IF(G58="","",E58*G58)</f>
        <v/>
      </c>
    </row>
    <row r="59" ht="15" customHeight="1" s="95">
      <c r="A59" s="116">
        <f>공사비산출!A57</f>
        <v/>
      </c>
      <c r="B59" s="116">
        <f>공사비산출!B57</f>
        <v/>
      </c>
      <c r="C59" s="116">
        <f>공사비산출!C57</f>
        <v/>
      </c>
      <c r="D59" s="143">
        <f>IFERROR(VLOOKUP(공사비산출!G57,자재마스터!E:F,2,FALSE()),"-")</f>
        <v/>
      </c>
      <c r="E59" s="145">
        <f>공사비산출!E57</f>
        <v/>
      </c>
      <c r="F59" s="116">
        <f>공사비산출!D57</f>
        <v/>
      </c>
      <c r="G59" s="176" t="n"/>
      <c r="H59" s="165">
        <f>IF(G59="","",E59*G59)</f>
        <v/>
      </c>
    </row>
    <row r="60" ht="15" customHeight="1" s="95">
      <c r="A60" s="116">
        <f>공사비산출!A58</f>
        <v/>
      </c>
      <c r="B60" s="116">
        <f>공사비산출!B58</f>
        <v/>
      </c>
      <c r="C60" s="116">
        <f>공사비산출!C58</f>
        <v/>
      </c>
      <c r="D60" s="143">
        <f>IFERROR(VLOOKUP(공사비산출!G58,자재마스터!E:F,2,FALSE()),"-")</f>
        <v/>
      </c>
      <c r="E60" s="145">
        <f>공사비산출!E58</f>
        <v/>
      </c>
      <c r="F60" s="116">
        <f>공사비산출!D58</f>
        <v/>
      </c>
      <c r="G60" s="176" t="n"/>
      <c r="H60" s="165">
        <f>IF(G60="","",E60*G60)</f>
        <v/>
      </c>
    </row>
    <row r="61" ht="15" customHeight="1" s="95">
      <c r="A61" s="116">
        <f>공사비산출!A59</f>
        <v/>
      </c>
      <c r="B61" s="116">
        <f>공사비산출!B59</f>
        <v/>
      </c>
      <c r="C61" s="116">
        <f>공사비산출!C59</f>
        <v/>
      </c>
      <c r="D61" s="143">
        <f>IFERROR(VLOOKUP(공사비산출!G59,자재마스터!E:F,2,FALSE()),"-")</f>
        <v/>
      </c>
      <c r="E61" s="145">
        <f>공사비산출!E59</f>
        <v/>
      </c>
      <c r="F61" s="116">
        <f>공사비산출!D59</f>
        <v/>
      </c>
      <c r="G61" s="176" t="n"/>
      <c r="H61" s="165">
        <f>IF(G61="","",E61*G61)</f>
        <v/>
      </c>
    </row>
    <row r="62" ht="15" customHeight="1" s="95">
      <c r="A62" s="116">
        <f>공사비산출!A60</f>
        <v/>
      </c>
      <c r="B62" s="116">
        <f>공사비산출!B60</f>
        <v/>
      </c>
      <c r="C62" s="116">
        <f>공사비산출!C60</f>
        <v/>
      </c>
      <c r="D62" s="143">
        <f>IFERROR(VLOOKUP(공사비산출!G60,자재마스터!E:F,2,FALSE()),"-")</f>
        <v/>
      </c>
      <c r="E62" s="145">
        <f>공사비산출!E60</f>
        <v/>
      </c>
      <c r="F62" s="116">
        <f>공사비산출!D60</f>
        <v/>
      </c>
      <c r="G62" s="176" t="n"/>
      <c r="H62" s="165">
        <f>IF(G62="","",E62*G62)</f>
        <v/>
      </c>
    </row>
    <row r="63" ht="15" customHeight="1" s="95">
      <c r="A63" s="116">
        <f>공사비산출!A61</f>
        <v/>
      </c>
      <c r="B63" s="116">
        <f>공사비산출!B61</f>
        <v/>
      </c>
      <c r="C63" s="116">
        <f>공사비산출!C61</f>
        <v/>
      </c>
      <c r="D63" s="143">
        <f>IFERROR(VLOOKUP(공사비산출!G61,자재마스터!E:F,2,FALSE()),"-")</f>
        <v/>
      </c>
      <c r="E63" s="145">
        <f>공사비산출!E61</f>
        <v/>
      </c>
      <c r="F63" s="116">
        <f>공사비산출!D61</f>
        <v/>
      </c>
      <c r="G63" s="176" t="n"/>
      <c r="H63" s="165">
        <f>IF(G63="","",E63*G63)</f>
        <v/>
      </c>
    </row>
    <row r="64" ht="15" customHeight="1" s="95">
      <c r="A64" s="116">
        <f>공사비산출!A62</f>
        <v/>
      </c>
      <c r="B64" s="116">
        <f>공사비산출!B62</f>
        <v/>
      </c>
      <c r="C64" s="116">
        <f>공사비산출!C62</f>
        <v/>
      </c>
      <c r="D64" s="143">
        <f>IFERROR(VLOOKUP(공사비산출!G62,자재마스터!E:F,2,FALSE()),"-")</f>
        <v/>
      </c>
      <c r="E64" s="145">
        <f>공사비산출!E62</f>
        <v/>
      </c>
      <c r="F64" s="116">
        <f>공사비산출!D62</f>
        <v/>
      </c>
      <c r="G64" s="176" t="n"/>
      <c r="H64" s="165">
        <f>IF(G64="","",E64*G64)</f>
        <v/>
      </c>
    </row>
    <row r="65" ht="15" customHeight="1" s="95">
      <c r="A65" s="116">
        <f>공사비산출!A63</f>
        <v/>
      </c>
      <c r="B65" s="116">
        <f>공사비산출!B63</f>
        <v/>
      </c>
      <c r="C65" s="116">
        <f>공사비산출!C63</f>
        <v/>
      </c>
      <c r="D65" s="143">
        <f>IFERROR(VLOOKUP(공사비산출!G63,자재마스터!E:F,2,FALSE()),"-")</f>
        <v/>
      </c>
      <c r="E65" s="145">
        <f>공사비산출!E63</f>
        <v/>
      </c>
      <c r="F65" s="116">
        <f>공사비산출!D63</f>
        <v/>
      </c>
      <c r="G65" s="176" t="n"/>
      <c r="H65" s="165">
        <f>IF(G65="","",E65*G65)</f>
        <v/>
      </c>
    </row>
    <row r="66" ht="15" customHeight="1" s="95">
      <c r="A66" s="116">
        <f>공사비산출!A64</f>
        <v/>
      </c>
      <c r="B66" s="116">
        <f>공사비산출!B64</f>
        <v/>
      </c>
      <c r="C66" s="116">
        <f>공사비산출!C64</f>
        <v/>
      </c>
      <c r="D66" s="143">
        <f>IFERROR(VLOOKUP(공사비산출!G64,자재마스터!E:F,2,FALSE()),"-")</f>
        <v/>
      </c>
      <c r="E66" s="145">
        <f>공사비산출!E64</f>
        <v/>
      </c>
      <c r="F66" s="116">
        <f>공사비산출!D64</f>
        <v/>
      </c>
      <c r="G66" s="176" t="n"/>
      <c r="H66" s="165">
        <f>IF(G66="","",E66*G66)</f>
        <v/>
      </c>
    </row>
    <row r="67" ht="15" customHeight="1" s="95">
      <c r="A67" s="116">
        <f>공사비산출!A65</f>
        <v/>
      </c>
      <c r="B67" s="116">
        <f>공사비산출!B65</f>
        <v/>
      </c>
      <c r="C67" s="116">
        <f>공사비산출!C65</f>
        <v/>
      </c>
      <c r="D67" s="143">
        <f>IFERROR(VLOOKUP(공사비산출!G65,자재마스터!E:F,2,FALSE()),"-")</f>
        <v/>
      </c>
      <c r="E67" s="145">
        <f>공사비산출!E65</f>
        <v/>
      </c>
      <c r="F67" s="116">
        <f>공사비산출!D65</f>
        <v/>
      </c>
      <c r="G67" s="176" t="n"/>
      <c r="H67" s="165">
        <f>IF(G67="","",E67*G67)</f>
        <v/>
      </c>
    </row>
    <row r="68" ht="15" customHeight="1" s="95">
      <c r="A68" s="116">
        <f>공사비산출!A66</f>
        <v/>
      </c>
      <c r="B68" s="116">
        <f>공사비산출!B66</f>
        <v/>
      </c>
      <c r="C68" s="116">
        <f>공사비산출!C66</f>
        <v/>
      </c>
      <c r="D68" s="143">
        <f>IFERROR(VLOOKUP(공사비산출!G66,자재마스터!E:F,2,FALSE()),"-")</f>
        <v/>
      </c>
      <c r="E68" s="145">
        <f>공사비산출!E66</f>
        <v/>
      </c>
      <c r="F68" s="116">
        <f>공사비산출!D66</f>
        <v/>
      </c>
      <c r="G68" s="176" t="n"/>
      <c r="H68" s="165">
        <f>IF(G68="","",E68*G68)</f>
        <v/>
      </c>
    </row>
    <row r="69" ht="15" customHeight="1" s="95">
      <c r="A69" s="116">
        <f>공사비산출!A67</f>
        <v/>
      </c>
      <c r="B69" s="116">
        <f>공사비산출!B67</f>
        <v/>
      </c>
      <c r="C69" s="116">
        <f>공사비산출!C67</f>
        <v/>
      </c>
      <c r="D69" s="143">
        <f>IFERROR(VLOOKUP(공사비산출!G67,자재마스터!E:F,2,FALSE()),"-")</f>
        <v/>
      </c>
      <c r="E69" s="145">
        <f>공사비산출!E67</f>
        <v/>
      </c>
      <c r="F69" s="116">
        <f>공사비산출!D67</f>
        <v/>
      </c>
      <c r="G69" s="176" t="n"/>
      <c r="H69" s="165">
        <f>IF(G69="","",E69*G69)</f>
        <v/>
      </c>
    </row>
    <row r="70" ht="15" customHeight="1" s="95">
      <c r="A70" s="116">
        <f>공사비산출!A68</f>
        <v/>
      </c>
      <c r="B70" s="116">
        <f>공사비산출!B68</f>
        <v/>
      </c>
      <c r="C70" s="116">
        <f>공사비산출!C68</f>
        <v/>
      </c>
      <c r="D70" s="143">
        <f>IFERROR(VLOOKUP(공사비산출!G68,자재마스터!E:F,2,FALSE()),"-")</f>
        <v/>
      </c>
      <c r="E70" s="145">
        <f>공사비산출!E68</f>
        <v/>
      </c>
      <c r="F70" s="116">
        <f>공사비산출!D68</f>
        <v/>
      </c>
      <c r="G70" s="176" t="n"/>
      <c r="H70" s="165">
        <f>IF(G70="","",E70*G70)</f>
        <v/>
      </c>
    </row>
    <row r="71" ht="15" customHeight="1" s="95">
      <c r="A71" s="116">
        <f>공사비산출!A69</f>
        <v/>
      </c>
      <c r="B71" s="116">
        <f>공사비산출!B69</f>
        <v/>
      </c>
      <c r="C71" s="116">
        <f>공사비산출!C69</f>
        <v/>
      </c>
      <c r="D71" s="143">
        <f>IFERROR(VLOOKUP(공사비산출!G69,자재마스터!E:F,2,FALSE()),"-")</f>
        <v/>
      </c>
      <c r="E71" s="145">
        <f>공사비산출!E69</f>
        <v/>
      </c>
      <c r="F71" s="116">
        <f>공사비산출!D69</f>
        <v/>
      </c>
      <c r="G71" s="176" t="n"/>
      <c r="H71" s="165">
        <f>IF(G71="","",E71*G71)</f>
        <v/>
      </c>
    </row>
    <row r="72" ht="15" customHeight="1" s="95">
      <c r="A72" s="116">
        <f>공사비산출!A70</f>
        <v/>
      </c>
      <c r="B72" s="116">
        <f>공사비산출!B70</f>
        <v/>
      </c>
      <c r="C72" s="116">
        <f>공사비산출!C70</f>
        <v/>
      </c>
      <c r="D72" s="143">
        <f>IFERROR(VLOOKUP(공사비산출!G70,자재마스터!E:F,2,FALSE()),"-")</f>
        <v/>
      </c>
      <c r="E72" s="145">
        <f>공사비산출!E70</f>
        <v/>
      </c>
      <c r="F72" s="116">
        <f>공사비산출!D70</f>
        <v/>
      </c>
      <c r="G72" s="176" t="n"/>
      <c r="H72" s="165">
        <f>IF(G72="","",E72*G72)</f>
        <v/>
      </c>
    </row>
    <row r="73" ht="15" customHeight="1" s="95">
      <c r="A73" s="116">
        <f>공사비산출!A71</f>
        <v/>
      </c>
      <c r="B73" s="116">
        <f>공사비산출!B71</f>
        <v/>
      </c>
      <c r="C73" s="116">
        <f>공사비산출!C71</f>
        <v/>
      </c>
      <c r="D73" s="143">
        <f>IFERROR(VLOOKUP(공사비산출!G71,자재마스터!E:F,2,FALSE()),"-")</f>
        <v/>
      </c>
      <c r="E73" s="145">
        <f>공사비산출!E71</f>
        <v/>
      </c>
      <c r="F73" s="116">
        <f>공사비산출!D71</f>
        <v/>
      </c>
      <c r="G73" s="176" t="n"/>
      <c r="H73" s="165">
        <f>IF(G73="","",E73*G73)</f>
        <v/>
      </c>
    </row>
    <row r="74" ht="15" customHeight="1" s="95">
      <c r="A74" s="116">
        <f>공사비산출!A72</f>
        <v/>
      </c>
      <c r="B74" s="116">
        <f>공사비산출!B72</f>
        <v/>
      </c>
      <c r="C74" s="116">
        <f>공사비산출!C72</f>
        <v/>
      </c>
      <c r="D74" s="143">
        <f>IFERROR(VLOOKUP(공사비산출!G72,자재마스터!E:F,2,FALSE()),"-")</f>
        <v/>
      </c>
      <c r="E74" s="145">
        <f>공사비산출!E72</f>
        <v/>
      </c>
      <c r="F74" s="116">
        <f>공사비산출!D72</f>
        <v/>
      </c>
      <c r="G74" s="176" t="n"/>
      <c r="H74" s="165">
        <f>IF(G74="","",E74*G74)</f>
        <v/>
      </c>
    </row>
    <row r="75" ht="15" customHeight="1" s="95">
      <c r="A75" s="116">
        <f>공사비산출!A73</f>
        <v/>
      </c>
      <c r="B75" s="116">
        <f>공사비산출!B73</f>
        <v/>
      </c>
      <c r="C75" s="116">
        <f>공사비산출!C73</f>
        <v/>
      </c>
      <c r="D75" s="143">
        <f>IFERROR(VLOOKUP(공사비산출!G73,자재마스터!E:F,2,FALSE()),"-")</f>
        <v/>
      </c>
      <c r="E75" s="145">
        <f>공사비산출!E73</f>
        <v/>
      </c>
      <c r="F75" s="116">
        <f>공사비산출!D73</f>
        <v/>
      </c>
      <c r="G75" s="176" t="n"/>
      <c r="H75" s="165">
        <f>IF(G75="","",E75*G75)</f>
        <v/>
      </c>
    </row>
    <row r="76" ht="15" customHeight="1" s="95">
      <c r="A76" s="116">
        <f>공사비산출!A74</f>
        <v/>
      </c>
      <c r="B76" s="116">
        <f>공사비산출!B74</f>
        <v/>
      </c>
      <c r="C76" s="116">
        <f>공사비산출!C74</f>
        <v/>
      </c>
      <c r="D76" s="143">
        <f>IFERROR(VLOOKUP(공사비산출!G74,자재마스터!E:F,2,FALSE()),"-")</f>
        <v/>
      </c>
      <c r="E76" s="145">
        <f>공사비산출!E74</f>
        <v/>
      </c>
      <c r="F76" s="116">
        <f>공사비산출!D74</f>
        <v/>
      </c>
      <c r="G76" s="176" t="n"/>
      <c r="H76" s="165">
        <f>IF(G76="","",E76*G76)</f>
        <v/>
      </c>
    </row>
    <row r="77" ht="15" customHeight="1" s="95">
      <c r="A77" s="116">
        <f>공사비산출!A75</f>
        <v/>
      </c>
      <c r="B77" s="116">
        <f>공사비산출!B75</f>
        <v/>
      </c>
      <c r="C77" s="116">
        <f>공사비산출!C75</f>
        <v/>
      </c>
      <c r="D77" s="143">
        <f>IFERROR(VLOOKUP(공사비산출!G75,자재마스터!E:F,2,FALSE()),"-")</f>
        <v/>
      </c>
      <c r="E77" s="145">
        <f>공사비산출!E75</f>
        <v/>
      </c>
      <c r="F77" s="116">
        <f>공사비산출!D75</f>
        <v/>
      </c>
      <c r="G77" s="176" t="n"/>
      <c r="H77" s="165">
        <f>IF(G77="","",E77*G77)</f>
        <v/>
      </c>
    </row>
    <row r="78" ht="15" customHeight="1" s="95">
      <c r="A78" s="116">
        <f>공사비산출!A76</f>
        <v/>
      </c>
      <c r="B78" s="116">
        <f>공사비산출!B76</f>
        <v/>
      </c>
      <c r="C78" s="116">
        <f>공사비산출!C76</f>
        <v/>
      </c>
      <c r="D78" s="143">
        <f>IFERROR(VLOOKUP(공사비산출!G76,자재마스터!E:F,2,FALSE()),"-")</f>
        <v/>
      </c>
      <c r="E78" s="145">
        <f>공사비산출!E76</f>
        <v/>
      </c>
      <c r="F78" s="116">
        <f>공사비산출!D76</f>
        <v/>
      </c>
      <c r="G78" s="176" t="n"/>
      <c r="H78" s="165">
        <f>IF(G78="","",E78*G78)</f>
        <v/>
      </c>
    </row>
    <row r="79" ht="15" customHeight="1" s="95">
      <c r="A79" s="116">
        <f>공사비산출!A77</f>
        <v/>
      </c>
      <c r="B79" s="116">
        <f>공사비산출!B77</f>
        <v/>
      </c>
      <c r="C79" s="116">
        <f>공사비산출!C77</f>
        <v/>
      </c>
      <c r="D79" s="143">
        <f>IFERROR(VLOOKUP(공사비산출!G77,자재마스터!E:F,2,FALSE()),"-")</f>
        <v/>
      </c>
      <c r="E79" s="145">
        <f>공사비산출!E77</f>
        <v/>
      </c>
      <c r="F79" s="116">
        <f>공사비산출!D77</f>
        <v/>
      </c>
      <c r="G79" s="176" t="n"/>
      <c r="H79" s="165">
        <f>IF(G79="","",E79*G79)</f>
        <v/>
      </c>
    </row>
    <row r="80" ht="15" customHeight="1" s="95">
      <c r="A80" s="116">
        <f>공사비산출!A78</f>
        <v/>
      </c>
      <c r="B80" s="116">
        <f>공사비산출!B78</f>
        <v/>
      </c>
      <c r="C80" s="116">
        <f>공사비산출!C78</f>
        <v/>
      </c>
      <c r="D80" s="143">
        <f>IFERROR(VLOOKUP(공사비산출!G78,자재마스터!E:F,2,FALSE()),"-")</f>
        <v/>
      </c>
      <c r="E80" s="145">
        <f>공사비산출!E78</f>
        <v/>
      </c>
      <c r="F80" s="116">
        <f>공사비산출!D78</f>
        <v/>
      </c>
      <c r="G80" s="176" t="n"/>
      <c r="H80" s="165">
        <f>IF(G80="","",E80*G80)</f>
        <v/>
      </c>
    </row>
    <row r="81" ht="15" customHeight="1" s="95">
      <c r="A81" s="116">
        <f>공사비산출!A79</f>
        <v/>
      </c>
      <c r="B81" s="116">
        <f>공사비산출!B79</f>
        <v/>
      </c>
      <c r="C81" s="116">
        <f>공사비산출!C79</f>
        <v/>
      </c>
      <c r="D81" s="143">
        <f>IFERROR(VLOOKUP(공사비산출!G79,자재마스터!E:F,2,FALSE()),"-")</f>
        <v/>
      </c>
      <c r="E81" s="145">
        <f>공사비산출!E79</f>
        <v/>
      </c>
      <c r="F81" s="116">
        <f>공사비산출!D79</f>
        <v/>
      </c>
      <c r="G81" s="176" t="n"/>
      <c r="H81" s="165">
        <f>IF(G81="","",E81*G81)</f>
        <v/>
      </c>
    </row>
    <row r="82" ht="15" customHeight="1" s="95">
      <c r="A82" s="116">
        <f>공사비산출!A80</f>
        <v/>
      </c>
      <c r="B82" s="116">
        <f>공사비산출!B80</f>
        <v/>
      </c>
      <c r="C82" s="116">
        <f>공사비산출!C80</f>
        <v/>
      </c>
      <c r="D82" s="143">
        <f>IFERROR(VLOOKUP(공사비산출!G80,자재마스터!E:F,2,FALSE()),"-")</f>
        <v/>
      </c>
      <c r="E82" s="145">
        <f>공사비산출!E80</f>
        <v/>
      </c>
      <c r="F82" s="116">
        <f>공사비산출!D80</f>
        <v/>
      </c>
      <c r="G82" s="176" t="n"/>
      <c r="H82" s="165">
        <f>IF(G82="","",E82*G82)</f>
        <v/>
      </c>
    </row>
    <row r="83" ht="15" customHeight="1" s="95">
      <c r="A83" s="116">
        <f>공사비산출!A81</f>
        <v/>
      </c>
      <c r="B83" s="116">
        <f>공사비산출!B81</f>
        <v/>
      </c>
      <c r="C83" s="116">
        <f>공사비산출!C81</f>
        <v/>
      </c>
      <c r="D83" s="143">
        <f>IFERROR(VLOOKUP(공사비산출!G81,자재마스터!E:F,2,FALSE()),"-")</f>
        <v/>
      </c>
      <c r="E83" s="145">
        <f>공사비산출!E81</f>
        <v/>
      </c>
      <c r="F83" s="116">
        <f>공사비산출!D81</f>
        <v/>
      </c>
      <c r="G83" s="176" t="n"/>
      <c r="H83" s="165">
        <f>IF(G83="","",E83*G83)</f>
        <v/>
      </c>
    </row>
    <row r="84" ht="15" customHeight="1" s="95">
      <c r="A84" s="116">
        <f>공사비산출!A82</f>
        <v/>
      </c>
      <c r="B84" s="116">
        <f>공사비산출!B82</f>
        <v/>
      </c>
      <c r="C84" s="116">
        <f>공사비산출!C82</f>
        <v/>
      </c>
      <c r="D84" s="143">
        <f>IFERROR(VLOOKUP(공사비산출!G82,자재마스터!E:F,2,FALSE()),"-")</f>
        <v/>
      </c>
      <c r="E84" s="145">
        <f>공사비산출!E82</f>
        <v/>
      </c>
      <c r="F84" s="116">
        <f>공사비산출!D82</f>
        <v/>
      </c>
      <c r="G84" s="176" t="n"/>
      <c r="H84" s="165">
        <f>IF(G84="","",E84*G84)</f>
        <v/>
      </c>
    </row>
    <row r="85" ht="15" customHeight="1" s="95">
      <c r="A85" s="116">
        <f>공사비산출!A83</f>
        <v/>
      </c>
      <c r="B85" s="116">
        <f>공사비산출!B83</f>
        <v/>
      </c>
      <c r="C85" s="116">
        <f>공사비산출!C83</f>
        <v/>
      </c>
      <c r="D85" s="143">
        <f>IFERROR(VLOOKUP(공사비산출!G83,자재마스터!E:F,2,FALSE()),"-")</f>
        <v/>
      </c>
      <c r="E85" s="145">
        <f>공사비산출!E83</f>
        <v/>
      </c>
      <c r="F85" s="116">
        <f>공사비산출!D83</f>
        <v/>
      </c>
      <c r="G85" s="176" t="n"/>
      <c r="H85" s="165">
        <f>IF(G85="","",E85*G85)</f>
        <v/>
      </c>
    </row>
    <row r="86" ht="15" customHeight="1" s="95">
      <c r="A86" s="116">
        <f>공사비산출!A84</f>
        <v/>
      </c>
      <c r="B86" s="116">
        <f>공사비산출!B84</f>
        <v/>
      </c>
      <c r="C86" s="116">
        <f>공사비산출!C84</f>
        <v/>
      </c>
      <c r="D86" s="143">
        <f>IFERROR(VLOOKUP(공사비산출!G84,자재마스터!E:F,2,FALSE()),"-")</f>
        <v/>
      </c>
      <c r="E86" s="145">
        <f>공사비산출!E84</f>
        <v/>
      </c>
      <c r="F86" s="116">
        <f>공사비산출!D84</f>
        <v/>
      </c>
      <c r="G86" s="176" t="n"/>
      <c r="H86" s="165">
        <f>IF(G86="","",E86*G86)</f>
        <v/>
      </c>
    </row>
    <row r="87" ht="15" customHeight="1" s="95">
      <c r="A87" s="116">
        <f>공사비산출!A85</f>
        <v/>
      </c>
      <c r="B87" s="116">
        <f>공사비산출!B85</f>
        <v/>
      </c>
      <c r="C87" s="116">
        <f>공사비산출!C85</f>
        <v/>
      </c>
      <c r="D87" s="143">
        <f>IFERROR(VLOOKUP(공사비산출!G85,자재마스터!E:F,2,FALSE()),"-")</f>
        <v/>
      </c>
      <c r="E87" s="145">
        <f>공사비산출!E85</f>
        <v/>
      </c>
      <c r="F87" s="116">
        <f>공사비산출!D85</f>
        <v/>
      </c>
      <c r="G87" s="176" t="n"/>
      <c r="H87" s="165">
        <f>IF(G87="","",E87*G87)</f>
        <v/>
      </c>
    </row>
    <row r="88" ht="15" customHeight="1" s="95">
      <c r="A88" s="116">
        <f>공사비산출!A86</f>
        <v/>
      </c>
      <c r="B88" s="116">
        <f>공사비산출!B86</f>
        <v/>
      </c>
      <c r="C88" s="116">
        <f>공사비산출!C86</f>
        <v/>
      </c>
      <c r="D88" s="143">
        <f>IFERROR(VLOOKUP(공사비산출!G86,자재마스터!E:F,2,FALSE()),"-")</f>
        <v/>
      </c>
      <c r="E88" s="145">
        <f>공사비산출!E86</f>
        <v/>
      </c>
      <c r="F88" s="116">
        <f>공사비산출!D86</f>
        <v/>
      </c>
      <c r="G88" s="176" t="n"/>
      <c r="H88" s="165">
        <f>IF(G88="","",E88*G88)</f>
        <v/>
      </c>
    </row>
    <row r="89" ht="15" customHeight="1" s="95">
      <c r="A89" s="116">
        <f>공사비산출!A87</f>
        <v/>
      </c>
      <c r="B89" s="116">
        <f>공사비산출!B87</f>
        <v/>
      </c>
      <c r="C89" s="116">
        <f>공사비산출!C87</f>
        <v/>
      </c>
      <c r="D89" s="143">
        <f>IFERROR(VLOOKUP(공사비산출!G87,자재마스터!E:F,2,FALSE()),"-")</f>
        <v/>
      </c>
      <c r="E89" s="145">
        <f>공사비산출!E87</f>
        <v/>
      </c>
      <c r="F89" s="116">
        <f>공사비산출!D87</f>
        <v/>
      </c>
      <c r="G89" s="176" t="n"/>
      <c r="H89" s="165">
        <f>IF(G89="","",E89*G89)</f>
        <v/>
      </c>
    </row>
    <row r="90" ht="15" customHeight="1" s="95">
      <c r="A90" s="116">
        <f>공사비산출!A88</f>
        <v/>
      </c>
      <c r="B90" s="116">
        <f>공사비산출!B88</f>
        <v/>
      </c>
      <c r="C90" s="116">
        <f>공사비산출!C88</f>
        <v/>
      </c>
      <c r="D90" s="143">
        <f>IFERROR(VLOOKUP(공사비산출!G88,자재마스터!E:F,2,FALSE()),"-")</f>
        <v/>
      </c>
      <c r="E90" s="145">
        <f>공사비산출!E88</f>
        <v/>
      </c>
      <c r="F90" s="116">
        <f>공사비산출!D88</f>
        <v/>
      </c>
      <c r="G90" s="176" t="n"/>
      <c r="H90" s="165">
        <f>IF(G90="","",E90*G90)</f>
        <v/>
      </c>
    </row>
    <row r="91" ht="15" customHeight="1" s="95">
      <c r="A91" s="116">
        <f>공사비산출!A89</f>
        <v/>
      </c>
      <c r="B91" s="116">
        <f>공사비산출!B89</f>
        <v/>
      </c>
      <c r="C91" s="116">
        <f>공사비산출!C89</f>
        <v/>
      </c>
      <c r="D91" s="143">
        <f>IFERROR(VLOOKUP(공사비산출!G89,자재마스터!E:F,2,FALSE()),"-")</f>
        <v/>
      </c>
      <c r="E91" s="145">
        <f>공사비산출!E89</f>
        <v/>
      </c>
      <c r="F91" s="116">
        <f>공사비산출!D89</f>
        <v/>
      </c>
      <c r="G91" s="176" t="n"/>
      <c r="H91" s="165">
        <f>IF(G91="","",E91*G91)</f>
        <v/>
      </c>
    </row>
    <row r="92" ht="15" customHeight="1" s="95">
      <c r="A92" s="116" t="inlineStr">
        <is>
          <t>합계</t>
        </is>
      </c>
      <c r="B92" s="146" t="n"/>
      <c r="C92" s="146" t="n"/>
      <c r="D92" s="146" t="n"/>
      <c r="E92" s="146" t="n"/>
      <c r="F92" s="146" t="n"/>
      <c r="G92" s="147" t="n"/>
      <c r="H92" s="152">
        <f>SUMPRODUCT(--ISNUMBER(H11:H91),H11:H91)</f>
        <v/>
      </c>
    </row>
    <row r="94" ht="16.15" customHeight="1" s="95">
      <c r="A94" s="96" t="inlineStr">
        <is>
          <t>▣ 회신 시 추가 확인 항목</t>
        </is>
      </c>
    </row>
    <row r="95" ht="15" customHeight="1" s="95">
      <c r="A95" s="118" t="inlineStr">
        <is>
          <t>1. 작업 가능 시작 가능일과 총 공사 일정</t>
        </is>
      </c>
    </row>
    <row r="96" ht="13.25" customHeight="1" s="95">
      <c r="A96" s="129" t="inlineStr">
        <is>
          <t>2. 자재 변경 제안 시 사양·단가·사유 명시</t>
        </is>
      </c>
    </row>
    <row r="97" ht="15" customHeight="1" s="95">
      <c r="A97" s="118" t="inlineStr">
        <is>
          <t>3. 부가세 별도 / 포함 여부</t>
        </is>
      </c>
    </row>
    <row r="98" ht="13.25" customHeight="1" s="95">
      <c r="A98" s="129" t="inlineStr">
        <is>
          <t>4. 잔공사·하자보수 보증 기간 (일반적으로 1년)</t>
        </is>
      </c>
    </row>
    <row r="99" ht="15" customHeight="1" s="95">
      <c r="A99" s="118" t="inlineStr">
        <is>
          <t>5. 폐기물 처리비 포함 여부</t>
        </is>
      </c>
    </row>
    <row r="100" ht="13.25" customHeight="1" s="95">
      <c r="A100" s="129" t="inlineStr">
        <is>
          <t>6. 관리사무소 사전 협의 사항 (소음·반입 시간 등)</t>
        </is>
      </c>
    </row>
  </sheetData>
  <mergeCells count="17">
    <mergeCell ref="A1:H1"/>
    <mergeCell ref="A100:H100"/>
    <mergeCell ref="A3:H3"/>
    <mergeCell ref="B5:D5"/>
    <mergeCell ref="F6:H6"/>
    <mergeCell ref="F5:H5"/>
    <mergeCell ref="B6:D6"/>
    <mergeCell ref="A95:H95"/>
    <mergeCell ref="A96:H96"/>
    <mergeCell ref="B4:D4"/>
    <mergeCell ref="A99:H99"/>
    <mergeCell ref="A92:G92"/>
    <mergeCell ref="A98:H98"/>
    <mergeCell ref="F4:H4"/>
    <mergeCell ref="A94:H94"/>
    <mergeCell ref="A8:H8"/>
    <mergeCell ref="A97:H97"/>
  </mergeCells>
  <printOptions horizontalCentered="1" verticalCentered="0" headings="0" gridLines="0" gridLinesSet="1"/>
  <pageMargins left="0.5" right="0.5" top="0.5" bottom="0.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32.11" customWidth="1" style="94" min="2" max="2"/>
    <col width="12.84" customWidth="1" style="94" min="3" max="3"/>
    <col width="11.01" customWidth="1" style="94" min="4" max="4"/>
    <col width="14.68" customWidth="1" style="94" min="5" max="5"/>
  </cols>
  <sheetData>
    <row r="1" ht="18.65" customHeight="1" s="95">
      <c r="A1" s="96" t="inlineStr">
        <is>
          <t>▣ 24평 기준 시나리오 — 등급별 상세</t>
        </is>
      </c>
    </row>
    <row r="2" ht="36" customHeight="1" s="95">
      <c r="A2" s="129" t="inlineStr">
        <is>
          <t>평형(B4) 변경 → 모든 표 수량 자동 갱신. 자재마스터 변경 → 단가·기준자재·공사비 자동 반영. 가정: 3베이, 거실+작방1+작방2+주방 발코니 확장(안방 비확장), 욕실 2개, 주방 3.6m, 전체 샷시 ON.</t>
        </is>
      </c>
    </row>
    <row r="4" ht="15" customHeight="1" s="95">
      <c r="A4" s="118" t="inlineStr">
        <is>
          <t>평형 (변경 가능)</t>
        </is>
      </c>
      <c r="B4" s="114" t="n">
        <v>24</v>
      </c>
      <c r="C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</row>
    <row r="6" ht="15" customHeight="1" s="95">
      <c r="A6" s="118" t="inlineStr">
        <is>
          <t>ratio</t>
        </is>
      </c>
      <c r="B6" s="118">
        <f>(B4-B5)/10</f>
        <v/>
      </c>
    </row>
    <row r="7" ht="15" customHeight="1" s="95">
      <c r="A7" s="118" t="inlineStr">
        <is>
          <t>lower col idx</t>
        </is>
      </c>
      <c r="B7" s="118">
        <f>B5/10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</row>
    <row r="29" ht="15" customHeight="1" s="95">
      <c r="A29" s="118" t="inlineStr">
        <is>
          <t>외부창 비확장 (㎡)</t>
        </is>
      </c>
      <c r="B29" s="118">
        <f>B10*MAX(0,1-B27/B28)</f>
        <v/>
      </c>
    </row>
    <row r="30" ht="15" customHeight="1" s="95">
      <c r="A30" s="118" t="inlineStr">
        <is>
          <t>외부창 확장 (㎡)</t>
        </is>
      </c>
      <c r="B30" s="118">
        <f>B10*MIN(1,B27/B28)</f>
        <v/>
      </c>
    </row>
    <row r="31" ht="15" customHeight="1" s="95">
      <c r="A31" s="118" t="inlineStr">
        <is>
          <t>스위치/콘센트 (ea)</t>
        </is>
      </c>
      <c r="B31" s="129">
        <f>IF(B4&lt;15,18,IF(B4&lt;25,24,IF(B4&lt;35,34,IF(B4&lt;45,42,IF(B4&lt;55,50,56)))))</f>
        <v/>
      </c>
    </row>
    <row r="32" ht="15" customHeight="1" s="95">
      <c r="A32" s="118" t="inlineStr">
        <is>
          <t>붙박이장 m</t>
        </is>
      </c>
      <c r="B32" s="129">
        <f>IF(B4&gt;=40,7.2,IF(B4&gt;=30,6.4,5.6))</f>
        <v/>
      </c>
    </row>
    <row r="33" ht="15" customHeight="1" s="95">
      <c r="A33" s="118" t="inlineStr">
        <is>
          <t>타일 일수</t>
        </is>
      </c>
      <c r="B33" s="129">
        <f>IF(B4&lt;30,2,IF(B4&lt;50,3,4))+1</f>
        <v/>
      </c>
    </row>
    <row r="34" ht="15" customHeight="1" s="95">
      <c r="A34" s="118" t="inlineStr">
        <is>
          <t>다운라이트 (ea)</t>
        </is>
      </c>
      <c r="B34" s="118">
        <f>ROUND(B4/2.5,0)</f>
        <v/>
      </c>
    </row>
    <row r="35" ht="15" customHeight="1" s="95">
      <c r="A35" s="118" t="inlineStr">
        <is>
          <t>난방온도조절기 (대)</t>
        </is>
      </c>
      <c r="B35" s="129">
        <f>IF(B4&lt;20,2,IF(B4&lt;30,3,IF(B4&lt;40,4,5)))</f>
        <v/>
      </c>
    </row>
    <row r="37" ht="15" customHeight="1" s="95">
      <c r="A37" s="172" t="inlineStr">
        <is>
          <t>■ 가성비 등급</t>
        </is>
      </c>
    </row>
    <row r="38" ht="15" customHeight="1" s="95">
      <c r="A38" s="114" t="inlineStr">
        <is>
          <t>공종</t>
        </is>
      </c>
      <c r="B38" s="114" t="inlineStr">
        <is>
          <t>기준자재</t>
        </is>
      </c>
      <c r="C38" s="114" t="inlineStr">
        <is>
          <t>단가(원)</t>
        </is>
      </c>
      <c r="D38" s="114" t="inlineStr">
        <is>
          <t>수량</t>
        </is>
      </c>
      <c r="E38" s="114" t="inlineStr">
        <is>
          <t>공사비(원)</t>
        </is>
      </c>
    </row>
    <row r="39" ht="15" customHeight="1" s="95">
      <c r="A39" s="114" t="inlineStr">
        <is>
          <t>철거공사</t>
        </is>
      </c>
      <c r="B39" s="111">
        <f>IFERROR((INDEX(자재마스터!$F:$F, MATCH("철거|가성비",자재마스터!$AA:$AA,0)) &amp; " " &amp; INDEX(자재마스터!$G:$G, MATCH("철거|가성비",자재마스터!$AA:$AA,0)))&amp;" ("&amp;INDEX(자재마스터!$J:$J,MATCH("철거|가성비",자재마스터!$AA:$AA,0))&amp;")","매칭없음")</f>
        <v/>
      </c>
      <c r="C39" s="162">
        <f>IFERROR(INDEX(자재마스터!$M:$M,MATCH("철거|가성비",자재마스터!$AA:$AA,0)),0)</f>
        <v/>
      </c>
      <c r="D39" s="177">
        <f>B8</f>
        <v/>
      </c>
      <c r="E39" s="159">
        <f>C39*D39</f>
        <v/>
      </c>
    </row>
    <row r="40" ht="15" customHeight="1" s="95">
      <c r="A40" s="114" t="inlineStr">
        <is>
          <t>단열공사</t>
        </is>
      </c>
      <c r="B40" s="111">
        <f>IFERROR((INDEX(자재마스터!$F:$F, MATCH("insulation|가성비",자재마스터!$Z:$Z,0)) &amp; " " &amp; INDEX(자재마스터!$G:$G, MATCH("insulation|가성비",자재마스터!$Z:$Z,0)))&amp;" ("&amp;INDEX(자재마스터!$J:$J,MATCH("insulation|가성비",자재마스터!$Z:$Z,0))&amp;")","매칭없음")</f>
        <v/>
      </c>
      <c r="C40" s="162">
        <f>IFERROR(INDEX(자재마스터!$M:$M,MATCH("insulation|가성비",자재마스터!$Z:$Z,0)),0)</f>
        <v/>
      </c>
      <c r="D40" s="177">
        <f>B8</f>
        <v/>
      </c>
      <c r="E40" s="159">
        <f>C40*D40</f>
        <v/>
      </c>
    </row>
    <row r="41" ht="15" customHeight="1" s="95">
      <c r="A41" s="114" t="inlineStr">
        <is>
          <t>샷시 비확장부</t>
        </is>
      </c>
      <c r="B41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1" s="162">
        <f>IFERROR(INDEX(자재마스터!$M:$M,MATCH("window|가성비",자재마스터!$Z:$Z,0)),0)</f>
        <v/>
      </c>
      <c r="D41" s="177">
        <f>B29</f>
        <v/>
      </c>
      <c r="E41" s="159">
        <f>C41*D41</f>
        <v/>
      </c>
    </row>
    <row r="42" ht="15" customHeight="1" s="95">
      <c r="A42" s="114" t="inlineStr">
        <is>
          <t>샷시 확장부 자동</t>
        </is>
      </c>
      <c r="B42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2" s="162">
        <f>IFERROR(INDEX(자재마스터!$M:$M,MATCH("window|가성비",자재마스터!$Z:$Z,0)),0)</f>
        <v/>
      </c>
      <c r="D42" s="177">
        <f>B30</f>
        <v/>
      </c>
      <c r="E42" s="159">
        <f>C42*D42</f>
        <v/>
      </c>
    </row>
    <row r="43" ht="15" customHeight="1" s="95">
      <c r="A43" s="114" t="inlineStr">
        <is>
          <t>바닥재</t>
        </is>
      </c>
      <c r="B43" s="111">
        <f>IFERROR((INDEX(자재마스터!$F:$F, MATCH("flooring|가성비",자재마스터!$Z:$Z,0)) &amp; " " &amp; INDEX(자재마스터!$G:$G, MATCH("flooring|가성비",자재마스터!$Z:$Z,0)))&amp;" ("&amp;INDEX(자재마스터!$J:$J,MATCH("flooring|가성비",자재마스터!$Z:$Z,0))&amp;")","매칭없음")</f>
        <v/>
      </c>
      <c r="C43" s="162">
        <f>IFERROR(INDEX(자재마스터!$M:$M,MATCH("flooring|가성비",자재마스터!$Z:$Z,0)),0)</f>
        <v/>
      </c>
      <c r="D43" s="177">
        <f>B19</f>
        <v/>
      </c>
      <c r="E43" s="159">
        <f>C43*D43</f>
        <v/>
      </c>
    </row>
    <row r="44" ht="15" customHeight="1" s="95">
      <c r="A44" s="114" t="inlineStr">
        <is>
          <t>도배</t>
        </is>
      </c>
      <c r="B44" s="111">
        <f>IFERROR((INDEX(자재마스터!$F:$F, MATCH("wallpaper|가성비",자재마스터!$Z:$Z,0)) &amp; " " &amp; INDEX(자재마스터!$G:$G, MATCH("wallpaper|가성비",자재마스터!$Z:$Z,0)))&amp;" ("&amp;INDEX(자재마스터!$J:$J,MATCH("wallpaper|가성비",자재마스터!$Z:$Z,0))&amp;")","매칭없음")</f>
        <v/>
      </c>
      <c r="C44" s="162">
        <f>IFERROR(INDEX(자재마스터!$M:$M,MATCH("wallpaper|가성비",자재마스터!$Z:$Z,0)),0)</f>
        <v/>
      </c>
      <c r="D44" s="177">
        <f>B20</f>
        <v/>
      </c>
      <c r="E44" s="159">
        <f>C44*D44</f>
        <v/>
      </c>
    </row>
    <row r="45" ht="15" customHeight="1" s="95">
      <c r="A45" s="114" t="inlineStr">
        <is>
          <t>몰딩</t>
        </is>
      </c>
      <c r="B45" s="111">
        <f>IFERROR((INDEX(자재마스터!$F:$F, MATCH("molding|가성비",자재마스터!$Z:$Z,0)) &amp; " " &amp; INDEX(자재마스터!$G:$G, MATCH("molding|가성비",자재마스터!$Z:$Z,0)))&amp;" ("&amp;INDEX(자재마스터!$J:$J,MATCH("molding|가성비",자재마스터!$Z:$Z,0))&amp;")","매칭없음")</f>
        <v/>
      </c>
      <c r="C45" s="162">
        <f>IFERROR(INDEX(자재마스터!$M:$M,MATCH("molding|가성비",자재마스터!$Z:$Z,0)),0)</f>
        <v/>
      </c>
      <c r="D45" s="177">
        <f>B18</f>
        <v/>
      </c>
      <c r="E45" s="159">
        <f>C45*D45</f>
        <v/>
      </c>
    </row>
    <row r="46" ht="15" customHeight="1" s="95">
      <c r="A46" s="114" t="inlineStr">
        <is>
          <t>걸레받이</t>
        </is>
      </c>
      <c r="B46" s="111">
        <f>IFERROR((INDEX(자재마스터!$F:$F, MATCH("baseboard|가성비",자재마스터!$Z:$Z,0)) &amp; " " &amp; INDEX(자재마스터!$G:$G, MATCH("baseboard|가성비",자재마스터!$Z:$Z,0)))&amp;" ("&amp;INDEX(자재마스터!$J:$J,MATCH("baseboard|가성비",자재마스터!$Z:$Z,0))&amp;")","매칭없음")</f>
        <v/>
      </c>
      <c r="C46" s="162">
        <f>IFERROR(INDEX(자재마스터!$M:$M,MATCH("baseboard|가성비",자재마스터!$Z:$Z,0)),0)</f>
        <v/>
      </c>
      <c r="D46" s="177">
        <f>B9</f>
        <v/>
      </c>
      <c r="E46" s="159">
        <f>C46*D46</f>
        <v/>
      </c>
    </row>
    <row r="47" ht="15" customHeight="1" s="95">
      <c r="A47" s="114" t="inlineStr">
        <is>
          <t>욕실 - 젠다이</t>
        </is>
      </c>
      <c r="B47" s="111">
        <f>IFERROR((INDEX(자재마스터!$F:$F, MATCH("bath_jendai|가성비",자재마스터!$Z:$Z,0)) &amp; " " &amp; INDEX(자재마스터!$G:$G, MATCH("bath_jendai|가성비",자재마스터!$Z:$Z,0)))&amp;" ("&amp;INDEX(자재마스터!$J:$J,MATCH("bath_jendai|가성비",자재마스터!$Z:$Z,0))&amp;")","매칭없음")</f>
        <v/>
      </c>
      <c r="C47" s="162">
        <f>IFERROR(INDEX(자재마스터!$M:$M,MATCH("bath_jendai|가성비",자재마스터!$Z:$Z,0)),0)</f>
        <v/>
      </c>
      <c r="D47" s="177">
        <f>2</f>
        <v/>
      </c>
      <c r="E47" s="159">
        <f>C47*D47</f>
        <v/>
      </c>
    </row>
    <row r="48" ht="15" customHeight="1" s="95">
      <c r="A48" s="114" t="inlineStr">
        <is>
          <t>욕실 - 방수</t>
        </is>
      </c>
      <c r="B48" s="111">
        <f>IFERROR((INDEX(자재마스터!$F:$F, MATCH("bath_waterproof|가성비",자재마스터!$Z:$Z,0)) &amp; " " &amp; INDEX(자재마스터!$G:$G, MATCH("bath_waterproof|가성비",자재마스터!$Z:$Z,0)))&amp;" ("&amp;INDEX(자재마스터!$J:$J,MATCH("bath_waterproof|가성비",자재마스터!$Z:$Z,0))&amp;")","매칭없음")</f>
        <v/>
      </c>
      <c r="C48" s="162">
        <f>IFERROR(INDEX(자재마스터!$M:$M,MATCH("bath_waterproof|가성비",자재마스터!$Z:$Z,0)),0)</f>
        <v/>
      </c>
      <c r="D48" s="177">
        <f>B21</f>
        <v/>
      </c>
      <c r="E48" s="159">
        <f>C48*D48</f>
        <v/>
      </c>
    </row>
    <row r="49" ht="15" customHeight="1" s="95">
      <c r="A49" s="114" t="inlineStr">
        <is>
          <t>욕실 - 타일자재 (벽+바닥)</t>
        </is>
      </c>
      <c r="B49" s="111">
        <f>IFERROR((INDEX(자재마스터!$F:$F, MATCH("bath_tile|가성비",자재마스터!$Z:$Z,0)) &amp; " " &amp; INDEX(자재마스터!$G:$G, MATCH("bath_tile|가성비",자재마스터!$Z:$Z,0)))&amp;" ("&amp;INDEX(자재마스터!$J:$J,MATCH("bath_tile|가성비",자재마스터!$Z:$Z,0))&amp;")","매칭없음")</f>
        <v/>
      </c>
      <c r="C49" s="162">
        <f>IFERROR(INDEX(자재마스터!$M:$M,MATCH("bath_tile|가성비",자재마스터!$Z:$Z,0)),0)</f>
        <v/>
      </c>
      <c r="D49" s="177">
        <f>B21*2</f>
        <v/>
      </c>
      <c r="E49" s="159">
        <f>C49*D49</f>
        <v/>
      </c>
    </row>
    <row r="50" ht="15" customHeight="1" s="95">
      <c r="A50" s="114" t="inlineStr">
        <is>
          <t>욕실 - 타일시공</t>
        </is>
      </c>
      <c r="B50" s="111">
        <f>IFERROR((INDEX(자재마스터!$F:$F, MATCH("bath_tile_method|가성비",자재마스터!$Z:$Z,0)) &amp; " " &amp; INDEX(자재마스터!$G:$G, MATCH("bath_tile_method|가성비",자재마스터!$Z:$Z,0)))&amp;" ("&amp;INDEX(자재마스터!$J:$J,MATCH("bath_tile_method|가성비",자재마스터!$Z:$Z,0))&amp;")","매칭없음")</f>
        <v/>
      </c>
      <c r="C50" s="162">
        <f>IFERROR(INDEX(자재마스터!$M:$M,MATCH("bath_tile_method|가성비",자재마스터!$Z:$Z,0)),0)</f>
        <v/>
      </c>
      <c r="D50" s="177">
        <f>B22</f>
        <v/>
      </c>
      <c r="E50" s="159">
        <f>C50*D50</f>
        <v/>
      </c>
    </row>
    <row r="51" ht="15" customHeight="1" s="95">
      <c r="A51" s="114" t="inlineStr">
        <is>
          <t>욕실 - 파티션 (부부)</t>
        </is>
      </c>
      <c r="B51" s="111">
        <f>IFERROR((INDEX(자재마스터!$F:$F, MATCH("bath_brick|가성비",자재마스터!$Z:$Z,0)) &amp; " " &amp; INDEX(자재마스터!$G:$G, MATCH("bath_brick|가성비",자재마스터!$Z:$Z,0)))&amp;" ("&amp;INDEX(자재마스터!$J:$J,MATCH("bath_brick|가성비",자재마스터!$Z:$Z,0))&amp;")","매칭없음")</f>
        <v/>
      </c>
      <c r="C51" s="162">
        <f>IFERROR(INDEX(자재마스터!$M:$M,MATCH("bath_brick|가성비",자재마스터!$Z:$Z,0)),0)</f>
        <v/>
      </c>
      <c r="D51" s="177">
        <f>1</f>
        <v/>
      </c>
      <c r="E51" s="159">
        <f>C51*D51</f>
        <v/>
      </c>
    </row>
    <row r="52" ht="15" customHeight="1" s="95">
      <c r="A52" s="114" t="inlineStr">
        <is>
          <t>욕실 - 천정</t>
        </is>
      </c>
      <c r="B52" s="111">
        <f>IFERROR((INDEX(자재마스터!$F:$F, MATCH("bath_ceiling|가성비",자재마스터!$Z:$Z,0)) &amp; " " &amp; INDEX(자재마스터!$G:$G, MATCH("bath_ceiling|가성비",자재마스터!$Z:$Z,0)))&amp;" ("&amp;INDEX(자재마스터!$J:$J,MATCH("bath_ceiling|가성비",자재마스터!$Z:$Z,0))&amp;")","매칭없음")</f>
        <v/>
      </c>
      <c r="C52" s="162">
        <f>IFERROR(INDEX(자재마스터!$M:$M,MATCH("bath_ceiling|가성비",자재마스터!$Z:$Z,0)),0)</f>
        <v/>
      </c>
      <c r="D52" s="177">
        <f>B21</f>
        <v/>
      </c>
      <c r="E52" s="159">
        <f>C52*D52</f>
        <v/>
      </c>
    </row>
    <row r="53" ht="15" customHeight="1" s="95">
      <c r="A53" s="114" t="inlineStr">
        <is>
          <t>욕실 - 세면대</t>
        </is>
      </c>
      <c r="B53" s="111">
        <f>IFERROR((INDEX(자재마스터!$F:$F, MATCH("bath_basin|가성비",자재마스터!$Z:$Z,0)) &amp; " " &amp; INDEX(자재마스터!$G:$G, MATCH("bath_basin|가성비",자재마스터!$Z:$Z,0)))&amp;" ("&amp;INDEX(자재마스터!$J:$J,MATCH("bath_basin|가성비",자재마스터!$Z:$Z,0))&amp;")","매칭없음")</f>
        <v/>
      </c>
      <c r="C53" s="162">
        <f>IFERROR(INDEX(자재마스터!$M:$M,MATCH("bath_basin|가성비",자재마스터!$Z:$Z,0)),0)</f>
        <v/>
      </c>
      <c r="D53" s="177">
        <f>2</f>
        <v/>
      </c>
      <c r="E53" s="159">
        <f>C53*D53</f>
        <v/>
      </c>
    </row>
    <row r="54" ht="15" customHeight="1" s="95">
      <c r="A54" s="114" t="inlineStr">
        <is>
          <t>욕실 - 수전</t>
        </is>
      </c>
      <c r="B54" s="111">
        <f>IFERROR((INDEX(자재마스터!$F:$F, MATCH("bath_faucet|가성비",자재마스터!$Z:$Z,0)) &amp; " " &amp; INDEX(자재마스터!$G:$G, MATCH("bath_faucet|가성비",자재마스터!$Z:$Z,0)))&amp;" ("&amp;INDEX(자재마스터!$J:$J,MATCH("bath_faucet|가성비",자재마스터!$Z:$Z,0))&amp;")","매칭없음")</f>
        <v/>
      </c>
      <c r="C54" s="162">
        <f>IFERROR(INDEX(자재마스터!$M:$M,MATCH("bath_faucet|가성비",자재마스터!$Z:$Z,0)),0)</f>
        <v/>
      </c>
      <c r="D54" s="177">
        <f>2</f>
        <v/>
      </c>
      <c r="E54" s="159">
        <f>C54*D54</f>
        <v/>
      </c>
    </row>
    <row r="55" ht="15" customHeight="1" s="95">
      <c r="A55" s="114" t="inlineStr">
        <is>
          <t>욕실 - 양변기</t>
        </is>
      </c>
      <c r="B55" s="111">
        <f>IFERROR((INDEX(자재마스터!$F:$F, MATCH("bath_toilet|가성비",자재마스터!$Z:$Z,0)) &amp; " " &amp; INDEX(자재마스터!$G:$G, MATCH("bath_toilet|가성비",자재마스터!$Z:$Z,0)))&amp;" ("&amp;INDEX(자재마스터!$J:$J,MATCH("bath_toilet|가성비",자재마스터!$Z:$Z,0))&amp;")","매칭없음")</f>
        <v/>
      </c>
      <c r="C55" s="162">
        <f>IFERROR(INDEX(자재마스터!$M:$M,MATCH("bath_toilet|가성비",자재마스터!$Z:$Z,0)),0)</f>
        <v/>
      </c>
      <c r="D55" s="177">
        <f>2</f>
        <v/>
      </c>
      <c r="E55" s="159">
        <f>C55*D55</f>
        <v/>
      </c>
    </row>
    <row r="56" ht="15" customHeight="1" s="95">
      <c r="A56" s="114" t="inlineStr">
        <is>
          <t>욕실 - 악세사리</t>
        </is>
      </c>
      <c r="B56" s="111">
        <f>IFERROR((INDEX(자재마스터!$F:$F, MATCH("bath_accessory|가성비",자재마스터!$Z:$Z,0)) &amp; " " &amp; INDEX(자재마스터!$G:$G, MATCH("bath_accessory|가성비",자재마스터!$Z:$Z,0)))&amp;" ("&amp;INDEX(자재마스터!$J:$J,MATCH("bath_accessory|가성비",자재마스터!$Z:$Z,0))&amp;")","매칭없음")</f>
        <v/>
      </c>
      <c r="C56" s="162">
        <f>IFERROR(INDEX(자재마스터!$M:$M,MATCH("bath_accessory|가성비",자재마스터!$Z:$Z,0)),0)</f>
        <v/>
      </c>
      <c r="D56" s="177">
        <f>2</f>
        <v/>
      </c>
      <c r="E56" s="159">
        <f>C56*D56</f>
        <v/>
      </c>
    </row>
    <row r="57" ht="15" customHeight="1" s="95">
      <c r="A57" s="114" t="inlineStr">
        <is>
          <t>욕실 - 줄눈</t>
        </is>
      </c>
      <c r="B57" s="111">
        <f>IFERROR((INDEX(자재마스터!$F:$F, MATCH("bath_grout|가성비",자재마스터!$Z:$Z,0)) &amp; " " &amp; INDEX(자재마스터!$G:$G, MATCH("bath_grout|가성비",자재마스터!$Z:$Z,0)))&amp;" ("&amp;INDEX(자재마스터!$J:$J,MATCH("bath_grout|가성비",자재마스터!$Z:$Z,0))&amp;")","매칭없음")</f>
        <v/>
      </c>
      <c r="C57" s="162">
        <f>IFERROR(INDEX(자재마스터!$M:$M,MATCH("bath_grout|가성비",자재마스터!$Z:$Z,0)),0)</f>
        <v/>
      </c>
      <c r="D57" s="177">
        <f>B21</f>
        <v/>
      </c>
      <c r="E57" s="159">
        <f>C57*D57</f>
        <v/>
      </c>
    </row>
    <row r="58" ht="15" customHeight="1" s="95">
      <c r="A58" s="114" t="inlineStr">
        <is>
          <t>욕실 설치비</t>
        </is>
      </c>
      <c r="B58" s="111">
        <f>IFERROR((INDEX(자재마스터!$F:$F, MATCH("bath_install|가성비",자재마스터!$Z:$Z,0)) &amp; " " &amp; INDEX(자재마스터!$G:$G, MATCH("bath_install|가성비",자재마스터!$Z:$Z,0)))&amp;" ("&amp;INDEX(자재마스터!$J:$J,MATCH("bath_install|가성비",자재마스터!$Z:$Z,0))&amp;")","매칭없음")</f>
        <v/>
      </c>
      <c r="C58" s="162">
        <f>IFERROR(INDEX(자재마스터!$M:$M,MATCH("bath_install|가성비",자재마스터!$Z:$Z,0)),0)</f>
        <v/>
      </c>
      <c r="D58" s="177">
        <f>2</f>
        <v/>
      </c>
      <c r="E58" s="159">
        <f>C58*D58</f>
        <v/>
      </c>
    </row>
    <row r="59" ht="15" customHeight="1" s="95">
      <c r="A59" s="114" t="inlineStr">
        <is>
          <t>타일 시공팀</t>
        </is>
      </c>
      <c r="B59" s="111">
        <f>IFERROR((INDEX(자재마스터!$F:$F, MATCH("tile_labor|가성비",자재마스터!$Z:$Z,0)) &amp; " " &amp; INDEX(자재마스터!$G:$G, MATCH("tile_labor|가성비",자재마스터!$Z:$Z,0)))&amp;" ("&amp;INDEX(자재마스터!$J:$J,MATCH("tile_labor|가성비",자재마스터!$Z:$Z,0))&amp;")","매칭없음")</f>
        <v/>
      </c>
      <c r="C59" s="162">
        <f>IFERROR(INDEX(자재마스터!$M:$M,MATCH("tile_labor|가성비",자재마스터!$Z:$Z,0)),0)</f>
        <v/>
      </c>
      <c r="D59" s="177">
        <f>B33</f>
        <v/>
      </c>
      <c r="E59" s="159">
        <f>C59*D59</f>
        <v/>
      </c>
    </row>
    <row r="60" ht="15" customHeight="1" s="95">
      <c r="A60" s="114" t="inlineStr">
        <is>
          <t>주방 - 몸체</t>
        </is>
      </c>
      <c r="B60" s="111">
        <f>IFERROR((INDEX(자재마스터!$F:$F, MATCH("kitchen_body|가성비",자재마스터!$Z:$Z,0)) &amp; " " &amp; INDEX(자재마스터!$G:$G, MATCH("kitchen_body|가성비",자재마스터!$Z:$Z,0)))&amp;" ("&amp;INDEX(자재마스터!$J:$J,MATCH("kitchen_body|가성비",자재마스터!$Z:$Z,0))&amp;")","매칭없음")</f>
        <v/>
      </c>
      <c r="C60" s="162">
        <f>IFERROR(INDEX(자재마스터!$M:$M,MATCH("kitchen_body|가성비",자재마스터!$Z:$Z,0)),0)</f>
        <v/>
      </c>
      <c r="D60" s="177">
        <f>3.6</f>
        <v/>
      </c>
      <c r="E60" s="159">
        <f>C60*D60</f>
        <v/>
      </c>
    </row>
    <row r="61" ht="15" customHeight="1" s="95">
      <c r="A61" s="114" t="inlineStr">
        <is>
          <t>주방 - 미드웨이</t>
        </is>
      </c>
      <c r="B61" s="111">
        <f>IFERROR((INDEX(자재마스터!$F:$F, MATCH("kitchen_midway|가성비",자재마스터!$Z:$Z,0)) &amp; " " &amp; INDEX(자재마스터!$G:$G, MATCH("kitchen_midway|가성비",자재마스터!$Z:$Z,0)))&amp;" ("&amp;INDEX(자재마스터!$J:$J,MATCH("kitchen_midway|가성비",자재마스터!$Z:$Z,0))&amp;")","매칭없음")</f>
        <v/>
      </c>
      <c r="C61" s="162">
        <f>IFERROR(INDEX(자재마스터!$M:$M,MATCH("kitchen_midway|가성비",자재마스터!$Z:$Z,0)),0)</f>
        <v/>
      </c>
      <c r="D61" s="177">
        <f>3.6</f>
        <v/>
      </c>
      <c r="E61" s="159">
        <f>C61*D61</f>
        <v/>
      </c>
    </row>
    <row r="62" ht="15" customHeight="1" s="95">
      <c r="A62" s="114" t="inlineStr">
        <is>
          <t>주방 - 도어</t>
        </is>
      </c>
      <c r="B62" s="111">
        <f>IFERROR((INDEX(자재마스터!$F:$F, MATCH("kitchen_door|가성비",자재마스터!$Z:$Z,0)) &amp; " " &amp; INDEX(자재마스터!$G:$G, MATCH("kitchen_door|가성비",자재마스터!$Z:$Z,0)))&amp;" ("&amp;INDEX(자재마스터!$J:$J,MATCH("kitchen_door|가성비",자재마스터!$Z:$Z,0))&amp;")","매칭없음")</f>
        <v/>
      </c>
      <c r="C62" s="162">
        <f>IFERROR(INDEX(자재마스터!$M:$M,MATCH("kitchen_door|가성비",자재마스터!$Z:$Z,0)),0)</f>
        <v/>
      </c>
      <c r="D62" s="177">
        <f>3.6</f>
        <v/>
      </c>
      <c r="E62" s="159">
        <f>C62*D62</f>
        <v/>
      </c>
    </row>
    <row r="63" ht="15" customHeight="1" s="95">
      <c r="A63" s="114" t="inlineStr">
        <is>
          <t>주방 - 상판</t>
        </is>
      </c>
      <c r="B63" s="111">
        <f>IFERROR((INDEX(자재마스터!$F:$F, MATCH("kitchen_top|가성비",자재마스터!$Z:$Z,0)) &amp; " " &amp; INDEX(자재마스터!$G:$G, MATCH("kitchen_top|가성비",자재마스터!$Z:$Z,0)))&amp;" ("&amp;INDEX(자재마스터!$J:$J,MATCH("kitchen_top|가성비",자재마스터!$Z:$Z,0))&amp;")","매칭없음")</f>
        <v/>
      </c>
      <c r="C63" s="162">
        <f>IFERROR(INDEX(자재마스터!$M:$M,MATCH("kitchen_top|가성비",자재마스터!$Z:$Z,0)),0)</f>
        <v/>
      </c>
      <c r="D63" s="177">
        <f>3.6</f>
        <v/>
      </c>
      <c r="E63" s="159">
        <f>C63*D63</f>
        <v/>
      </c>
    </row>
    <row r="64" ht="15" customHeight="1" s="95">
      <c r="A64" s="114" t="inlineStr">
        <is>
          <t>주방 - 하드웨어</t>
        </is>
      </c>
      <c r="B64" s="111">
        <f>IFERROR((INDEX(자재마스터!$F:$F, MATCH("kitchen_hardware|가성비",자재마스터!$Z:$Z,0)) &amp; " " &amp; INDEX(자재마스터!$G:$G, MATCH("kitchen_hardware|가성비",자재마스터!$Z:$Z,0)))&amp;" ("&amp;INDEX(자재마스터!$J:$J,MATCH("kitchen_hardware|가성비",자재마스터!$Z:$Z,0))&amp;")","매칭없음")</f>
        <v/>
      </c>
      <c r="C64" s="162">
        <f>IFERROR(INDEX(자재마스터!$M:$M,MATCH("kitchen_hardware|가성비",자재마스터!$Z:$Z,0)),0)</f>
        <v/>
      </c>
      <c r="D64" s="177">
        <f>ROUND(3.6*4.5,0)</f>
        <v/>
      </c>
      <c r="E64" s="159">
        <f>C64*D64</f>
        <v/>
      </c>
    </row>
    <row r="65" ht="15" customHeight="1" s="95">
      <c r="A65" s="114" t="inlineStr">
        <is>
          <t>주방 - 후드</t>
        </is>
      </c>
      <c r="B65" s="111">
        <f>IFERROR((INDEX(자재마스터!$F:$F, MATCH("kitchen_hood|가성비",자재마스터!$Z:$Z,0)) &amp; " " &amp; INDEX(자재마스터!$G:$G, MATCH("kitchen_hood|가성비",자재마스터!$Z:$Z,0)))&amp;" ("&amp;INDEX(자재마스터!$J:$J,MATCH("kitchen_hood|가성비",자재마스터!$Z:$Z,0))&amp;")","매칭없음")</f>
        <v/>
      </c>
      <c r="C65" s="162">
        <f>IFERROR(INDEX(자재마스터!$M:$M,MATCH("kitchen_hood|가성비",자재마스터!$Z:$Z,0)),0)</f>
        <v/>
      </c>
      <c r="D65" s="177">
        <f>1</f>
        <v/>
      </c>
      <c r="E65" s="159">
        <f>C65*D65</f>
        <v/>
      </c>
    </row>
    <row r="66" ht="15" customHeight="1" s="95">
      <c r="A66" s="114" t="inlineStr">
        <is>
          <t>주방 - 싱크볼</t>
        </is>
      </c>
      <c r="B66" s="111">
        <f>IFERROR((INDEX(자재마스터!$F:$F, MATCH("kitchen_sink|가성비",자재마스터!$Z:$Z,0)) &amp; " " &amp; INDEX(자재마스터!$G:$G, MATCH("kitchen_sink|가성비",자재마스터!$Z:$Z,0)))&amp;" ("&amp;INDEX(자재마스터!$J:$J,MATCH("kitchen_sink|가성비",자재마스터!$Z:$Z,0))&amp;")","매칭없음")</f>
        <v/>
      </c>
      <c r="C66" s="162">
        <f>IFERROR(INDEX(자재마스터!$M:$M,MATCH("kitchen_sink|가성비",자재마스터!$Z:$Z,0)),0)</f>
        <v/>
      </c>
      <c r="D66" s="177">
        <f>1</f>
        <v/>
      </c>
      <c r="E66" s="159">
        <f>C66*D66</f>
        <v/>
      </c>
    </row>
    <row r="67" ht="15" customHeight="1" s="95">
      <c r="A67" s="114" t="inlineStr">
        <is>
          <t>중문 (3연동)</t>
        </is>
      </c>
      <c r="B67" s="111">
        <f>IFERROR((INDEX(자재마스터!$F:$F, MATCH("sliding_door|가성비",자재마스터!$Z:$Z,0)) &amp; " " &amp; INDEX(자재마스터!$G:$G, MATCH("sliding_door|가성비",자재마스터!$Z:$Z,0)))&amp;" ("&amp;INDEX(자재마스터!$J:$J,MATCH("sliding_door|가성비",자재마스터!$Z:$Z,0))&amp;")","매칭없음")</f>
        <v/>
      </c>
      <c r="C67" s="162">
        <f>IFERROR(INDEX(자재마스터!$M:$M,MATCH("sliding_door|가성비",자재마스터!$Z:$Z,0)),0)</f>
        <v/>
      </c>
      <c r="D67" s="177">
        <f>1</f>
        <v/>
      </c>
      <c r="E67" s="159">
        <f>C67*D67</f>
        <v/>
      </c>
    </row>
    <row r="68" ht="15" customHeight="1" s="95">
      <c r="A68" s="114" t="inlineStr">
        <is>
          <t>일반가구 (현관)</t>
        </is>
      </c>
      <c r="B68" s="111">
        <f>IFERROR((INDEX(자재마스터!$F:$F, MATCH("general_furniture|가성비",자재마스터!$Z:$Z,0)) &amp; " " &amp; INDEX(자재마스터!$G:$G, MATCH("general_furniture|가성비",자재마스터!$Z:$Z,0)))&amp;" ("&amp;INDEX(자재마스터!$J:$J,MATCH("general_furniture|가성비",자재마스터!$Z:$Z,0))&amp;")","매칭없음")</f>
        <v/>
      </c>
      <c r="C68" s="162">
        <f>IFERROR(INDEX(자재마스터!$M:$M,MATCH("general_furniture|가성비",자재마스터!$Z:$Z,0)),0)</f>
        <v/>
      </c>
      <c r="D68" s="177">
        <f>1</f>
        <v/>
      </c>
      <c r="E68" s="159">
        <f>C68*D68</f>
        <v/>
      </c>
    </row>
    <row r="69" ht="15" customHeight="1" s="95">
      <c r="A69" s="114" t="inlineStr">
        <is>
          <t>붙박이장</t>
        </is>
      </c>
      <c r="B69" s="111">
        <f>IFERROR((INDEX(자재마스터!$F:$F, MATCH("closet|가성비",자재마스터!$Z:$Z,0)) &amp; " " &amp; INDEX(자재마스터!$G:$G, MATCH("closet|가성비",자재마스터!$Z:$Z,0)))&amp;" ("&amp;INDEX(자재마스터!$J:$J,MATCH("closet|가성비",자재마스터!$Z:$Z,0))&amp;")","매칭없음")</f>
        <v/>
      </c>
      <c r="C69" s="162">
        <f>IFERROR(INDEX(자재마스터!$M:$M,MATCH("closet|가성비",자재마스터!$Z:$Z,0)),0)</f>
        <v/>
      </c>
      <c r="D69" s="177">
        <f>B32</f>
        <v/>
      </c>
      <c r="E69" s="159">
        <f>C69*D69</f>
        <v/>
      </c>
    </row>
    <row r="70" ht="15" customHeight="1" s="95">
      <c r="A70" s="114" t="inlineStr">
        <is>
          <t>전기 기본공사</t>
        </is>
      </c>
      <c r="B70" s="111">
        <f>IFERROR((INDEX(자재마스터!$F:$F, MATCH("electrical_base|가성비",자재마스터!$Z:$Z,0)) &amp; " " &amp; INDEX(자재마스터!$G:$G, MATCH("electrical_base|가성비",자재마스터!$Z:$Z,0)))&amp;" ("&amp;INDEX(자재마스터!$J:$J,MATCH("electrical_base|가성비",자재마스터!$Z:$Z,0))&amp;")","매칭없음")</f>
        <v/>
      </c>
      <c r="C70" s="162">
        <f>IFERROR(INDEX(자재마스터!$M:$M,MATCH("electrical_base|가성비",자재마스터!$Z:$Z,0)),0)</f>
        <v/>
      </c>
      <c r="D70" s="177">
        <f>B9</f>
        <v/>
      </c>
      <c r="E70" s="159">
        <f>C70*D70</f>
        <v/>
      </c>
    </row>
    <row r="71" ht="15" customHeight="1" s="95">
      <c r="A71" s="114" t="inlineStr">
        <is>
          <t>스위치/콘센트</t>
        </is>
      </c>
      <c r="B71" s="111">
        <f>IFERROR((INDEX(자재마스터!$F:$F, MATCH("electrical_switch|가성비",자재마스터!$Z:$Z,0)) &amp; " " &amp; INDEX(자재마스터!$G:$G, MATCH("electrical_switch|가성비",자재마스터!$Z:$Z,0)))&amp;" ("&amp;INDEX(자재마스터!$J:$J,MATCH("electrical_switch|가성비",자재마스터!$Z:$Z,0))&amp;")","매칭없음")</f>
        <v/>
      </c>
      <c r="C71" s="162">
        <f>IFERROR(INDEX(자재마스터!$M:$M,MATCH("electrical_switch|가성비",자재마스터!$Z:$Z,0)),0)</f>
        <v/>
      </c>
      <c r="D71" s="177">
        <f>B31</f>
        <v/>
      </c>
      <c r="E71" s="159">
        <f>C71*D71</f>
        <v/>
      </c>
    </row>
    <row r="72" ht="15" customHeight="1" s="95">
      <c r="A72" s="114" t="inlineStr">
        <is>
          <t>인덕션 전용선</t>
        </is>
      </c>
      <c r="B72" s="111">
        <f>IFERROR((INDEX(자재마스터!$F:$F, MATCH("induction_line|가성비",자재마스터!$Z:$Z,0)) &amp; " " &amp; INDEX(자재마스터!$G:$G, MATCH("induction_line|가성비",자재마스터!$Z:$Z,0)))&amp;" ("&amp;INDEX(자재마스터!$J:$J,MATCH("induction_line|가성비",자재마스터!$Z:$Z,0))&amp;")","매칭없음")</f>
        <v/>
      </c>
      <c r="C72" s="162">
        <f>IFERROR(INDEX(자재마스터!$M:$M,MATCH("induction_line|가성비",자재마스터!$Z:$Z,0)),0)</f>
        <v/>
      </c>
      <c r="D72" s="177">
        <f>1</f>
        <v/>
      </c>
      <c r="E72" s="159">
        <f>C72*D72</f>
        <v/>
      </c>
    </row>
    <row r="73" ht="15" customHeight="1" s="95">
      <c r="A73" s="114" t="inlineStr">
        <is>
          <t>다운라이트</t>
        </is>
      </c>
      <c r="B73" s="111">
        <f>IFERROR((INDEX(자재마스터!$F:$F, MATCH("lighting_downlight|가성비",자재마스터!$Z:$Z,0)) &amp; " " &amp; INDEX(자재마스터!$G:$G, MATCH("lighting_downlight|가성비",자재마스터!$Z:$Z,0)))&amp;" ("&amp;INDEX(자재마스터!$J:$J,MATCH("lighting_downlight|가성비",자재마스터!$Z:$Z,0))&amp;")","매칭없음")</f>
        <v/>
      </c>
      <c r="C73" s="162">
        <f>IFERROR(INDEX(자재마스터!$M:$M,MATCH("lighting_downlight|가성비",자재마스터!$Z:$Z,0)),0)</f>
        <v/>
      </c>
      <c r="D73" s="177">
        <f>B34</f>
        <v/>
      </c>
      <c r="E73" s="159">
        <f>C73*D73</f>
        <v/>
      </c>
    </row>
    <row r="74" ht="15" customHeight="1" s="95">
      <c r="A74" s="114" t="inlineStr">
        <is>
          <t>거실 간접조명</t>
        </is>
      </c>
      <c r="B74" s="111">
        <f>IFERROR((INDEX(자재마스터!$F:$F, MATCH("lighting_indirect_living|가성비",자재마스터!$Z:$Z,0)) &amp; " " &amp; INDEX(자재마스터!$G:$G, MATCH("lighting_indirect_living|가성비",자재마스터!$Z:$Z,0)))&amp;" ("&amp;INDEX(자재마스터!$J:$J,MATCH("lighting_indirect_living|가성비",자재마스터!$Z:$Z,0))&amp;")","매칭없음")</f>
        <v/>
      </c>
      <c r="C74" s="162">
        <f>IFERROR(INDEX(자재마스터!$M:$M,MATCH("lighting_indirect_living|가성비",자재마스터!$Z:$Z,0)),0)</f>
        <v/>
      </c>
      <c r="D74" s="177">
        <f>1</f>
        <v/>
      </c>
      <c r="E74" s="159">
        <f>C74*D74</f>
        <v/>
      </c>
    </row>
    <row r="75" ht="15" customHeight="1" s="95">
      <c r="A75" s="114" t="inlineStr">
        <is>
          <t>욕실 간접조명</t>
        </is>
      </c>
      <c r="B75" s="111">
        <f>IFERROR((INDEX(자재마스터!$F:$F, MATCH("lighting_indirect_bath|가성비",자재마스터!$Z:$Z,0)) &amp; " " &amp; INDEX(자재마스터!$G:$G, MATCH("lighting_indirect_bath|가성비",자재마스터!$Z:$Z,0)))&amp;" ("&amp;INDEX(자재마스터!$J:$J,MATCH("lighting_indirect_bath|가성비",자재마스터!$Z:$Z,0))&amp;")","매칭없음")</f>
        <v/>
      </c>
      <c r="C75" s="162">
        <f>IFERROR(INDEX(자재마스터!$M:$M,MATCH("lighting_indirect_bath|가성비",자재마스터!$Z:$Z,0)),0)</f>
        <v/>
      </c>
      <c r="D75" s="177">
        <f>2</f>
        <v/>
      </c>
      <c r="E75" s="159">
        <f>C75*D75</f>
        <v/>
      </c>
    </row>
    <row r="76" ht="15" customHeight="1" s="95">
      <c r="A76" s="114" t="inlineStr">
        <is>
          <t>거실 마그네틱 라인</t>
        </is>
      </c>
      <c r="B76" s="111">
        <f>IFERROR((INDEX(자재마스터!$F:$F, MATCH("lighting_magnetic_living|가성비",자재마스터!$Z:$Z,0)) &amp; " " &amp; INDEX(자재마스터!$G:$G, MATCH("lighting_magnetic_living|가성비",자재마스터!$Z:$Z,0)))&amp;" ("&amp;INDEX(자재마스터!$J:$J,MATCH("lighting_magnetic_living|가성비",자재마스터!$Z:$Z,0))&amp;")","매칭없음")</f>
        <v/>
      </c>
      <c r="C76" s="162">
        <f>IFERROR(INDEX(자재마스터!$M:$M,MATCH("lighting_magnetic_living|가성비",자재마스터!$Z:$Z,0)),0)</f>
        <v/>
      </c>
      <c r="D76" s="177">
        <f>1</f>
        <v/>
      </c>
      <c r="E76" s="159">
        <f>C76*D76</f>
        <v/>
      </c>
    </row>
    <row r="77" ht="15" customHeight="1" s="95">
      <c r="A77" s="114" t="inlineStr">
        <is>
          <t>주방 마그네틱 라인</t>
        </is>
      </c>
      <c r="B77" s="111">
        <f>IFERROR((INDEX(자재마스터!$F:$F, MATCH("lighting_magnetic_kitchen|가성비",자재마스터!$Z:$Z,0)) &amp; " " &amp; INDEX(자재마스터!$G:$G, MATCH("lighting_magnetic_kitchen|가성비",자재마스터!$Z:$Z,0)))&amp;" ("&amp;INDEX(자재마스터!$J:$J,MATCH("lighting_magnetic_kitchen|가성비",자재마스터!$Z:$Z,0))&amp;")","매칭없음")</f>
        <v/>
      </c>
      <c r="C77" s="162">
        <f>IFERROR(INDEX(자재마스터!$M:$M,MATCH("lighting_magnetic_kitchen|가성비",자재마스터!$Z:$Z,0)),0)</f>
        <v/>
      </c>
      <c r="D77" s="177">
        <f>1</f>
        <v/>
      </c>
      <c r="E77" s="159">
        <f>C77*D77</f>
        <v/>
      </c>
    </row>
    <row r="78" ht="15" customHeight="1" s="95">
      <c r="A78" s="114" t="inlineStr">
        <is>
          <t>설비 기본공사</t>
        </is>
      </c>
      <c r="B78" s="111">
        <f>IFERROR((INDEX(자재마스터!$F:$F, MATCH("plumbing_base|가성비",자재마스터!$Z:$Z,0)) &amp; " " &amp; INDEX(자재마스터!$G:$G, MATCH("plumbing_base|가성비",자재마스터!$Z:$Z,0)))&amp;" ("&amp;INDEX(자재마스터!$J:$J,MATCH("plumbing_base|가성비",자재마스터!$Z:$Z,0))&amp;")","매칭없음")</f>
        <v/>
      </c>
      <c r="C78" s="162">
        <f>IFERROR(INDEX(자재마스터!$M:$M,MATCH("plumbing_base|가성비",자재마스터!$Z:$Z,0)),0)</f>
        <v/>
      </c>
      <c r="D78" s="177">
        <f>B9</f>
        <v/>
      </c>
      <c r="E78" s="159">
        <f>C78*D78</f>
        <v/>
      </c>
    </row>
    <row r="79" ht="15" customHeight="1" s="95">
      <c r="A79" s="114" t="inlineStr">
        <is>
          <t>분배기 교체</t>
        </is>
      </c>
      <c r="B79" s="111">
        <f>IFERROR((INDEX(자재마스터!$F:$F, MATCH("distribution_panel|가성비",자재마스터!$Z:$Z,0)) &amp; " " &amp; INDEX(자재마스터!$G:$G, MATCH("distribution_panel|가성비",자재마스터!$Z:$Z,0)))&amp;" ("&amp;INDEX(자재마스터!$J:$J,MATCH("distribution_panel|가성비",자재마스터!$Z:$Z,0))&amp;")","매칭없음")</f>
        <v/>
      </c>
      <c r="C79" s="162">
        <f>IFERROR(INDEX(자재마스터!$M:$M,MATCH("distribution_panel|가성비",자재마스터!$Z:$Z,0)),0)</f>
        <v/>
      </c>
      <c r="D79" s="177">
        <f>1</f>
        <v/>
      </c>
      <c r="E79" s="159">
        <f>C79*D79</f>
        <v/>
      </c>
    </row>
    <row r="80" ht="15" customHeight="1" s="95">
      <c r="A80" s="114" t="inlineStr">
        <is>
          <t>배관 변경</t>
        </is>
      </c>
      <c r="B80" s="111">
        <f>IFERROR((INDEX(자재마스터!$F:$F, MATCH("plumbing_relocation|가성비",자재마스터!$Z:$Z,0)) &amp; " " &amp; INDEX(자재마스터!$G:$G, MATCH("plumbing_relocation|가성비",자재마스터!$Z:$Z,0)))&amp;" ("&amp;INDEX(자재마스터!$J:$J,MATCH("plumbing_relocation|가성비",자재마스터!$Z:$Z,0))&amp;")","매칭없음")</f>
        <v/>
      </c>
      <c r="C80" s="162">
        <f>IFERROR(INDEX(자재마스터!$M:$M,MATCH("plumbing_relocation|가성비",자재마스터!$Z:$Z,0)),0)</f>
        <v/>
      </c>
      <c r="D80" s="177">
        <f>1</f>
        <v/>
      </c>
      <c r="E80" s="159">
        <f>C80*D80</f>
        <v/>
      </c>
    </row>
    <row r="81" ht="15" customHeight="1" s="95">
      <c r="A81" s="114" t="inlineStr">
        <is>
          <t>난방온도조절기</t>
        </is>
      </c>
      <c r="B81" s="111">
        <f>IFERROR((INDEX(자재마스터!$F:$F, MATCH("thermostat|가성비",자재마스터!$Z:$Z,0)) &amp; " " &amp; INDEX(자재마스터!$G:$G, MATCH("thermostat|가성비",자재마스터!$Z:$Z,0)))&amp;" ("&amp;INDEX(자재마스터!$J:$J,MATCH("thermostat|가성비",자재마스터!$Z:$Z,0))&amp;")","매칭없음")</f>
        <v/>
      </c>
      <c r="C81" s="162">
        <f>IFERROR(INDEX(자재마스터!$M:$M,MATCH("thermostat|가성비",자재마스터!$Z:$Z,0)),0)</f>
        <v/>
      </c>
      <c r="D81" s="177">
        <f>B35</f>
        <v/>
      </c>
      <c r="E81" s="159">
        <f>C81*D81</f>
        <v/>
      </c>
    </row>
    <row r="82" ht="15" customHeight="1" s="95">
      <c r="A82" s="114" t="inlineStr">
        <is>
          <t>시스템에어컨</t>
        </is>
      </c>
      <c r="B82" s="111">
        <f>IFERROR((INDEX(자재마스터!$F:$F, MATCH("aircon|가성비",자재마스터!$Z:$Z,0)) &amp; " " &amp; INDEX(자재마스터!$G:$G, MATCH("aircon|가성비",자재마스터!$Z:$Z,0)))&amp;" ("&amp;INDEX(자재마스터!$J:$J,MATCH("aircon|가성비",자재마스터!$Z:$Z,0))&amp;")","매칭없음")</f>
        <v/>
      </c>
      <c r="C82" s="162">
        <f>IFERROR(INDEX(자재마스터!$M:$M,MATCH("aircon|가성비",자재마스터!$Z:$Z,0)),0)</f>
        <v/>
      </c>
      <c r="D82" s="177">
        <f>3</f>
        <v/>
      </c>
      <c r="E82" s="159">
        <f>C82*D82</f>
        <v/>
      </c>
    </row>
    <row r="83" ht="15" customHeight="1" s="95">
      <c r="A83" s="114" t="inlineStr">
        <is>
          <t>에어컨 실외기</t>
        </is>
      </c>
      <c r="B83" s="111">
        <f>IFERROR((INDEX(자재마스터!$F:$F, MATCH("aircon_outdoor|가성비",자재마스터!$Z:$Z,0)) &amp; " " &amp; INDEX(자재마스터!$G:$G, MATCH("aircon_outdoor|가성비",자재마스터!$Z:$Z,0)))&amp;" ("&amp;INDEX(자재마스터!$J:$J,MATCH("aircon_outdoor|가성비",자재마스터!$Z:$Z,0))&amp;")","매칭없음")</f>
        <v/>
      </c>
      <c r="C83" s="162">
        <f>IFERROR(INDEX(자재마스터!$M:$M,MATCH("aircon_outdoor|가성비",자재마스터!$Z:$Z,0)),0)</f>
        <v/>
      </c>
      <c r="D83" s="177">
        <f>1</f>
        <v/>
      </c>
      <c r="E83" s="159">
        <f>C83*D83</f>
        <v/>
      </c>
    </row>
    <row r="84" ht="15" customHeight="1" s="95">
      <c r="A84" s="114" t="inlineStr">
        <is>
          <t>실링팬</t>
        </is>
      </c>
      <c r="B84" s="111">
        <f>IFERROR((INDEX(자재마스터!$F:$F, MATCH("ceiling_fan|가성비",자재마스터!$Z:$Z,0)) &amp; " " &amp; INDEX(자재마스터!$G:$G, MATCH("ceiling_fan|가성비",자재마스터!$Z:$Z,0)))&amp;" ("&amp;INDEX(자재마스터!$J:$J,MATCH("ceiling_fan|가성비",자재마스터!$Z:$Z,0))&amp;")","매칭없음")</f>
        <v/>
      </c>
      <c r="C84" s="162">
        <f>IFERROR(INDEX(자재마스터!$M:$M,MATCH("ceiling_fan|가성비",자재마스터!$Z:$Z,0)),0)</f>
        <v/>
      </c>
      <c r="D84" s="177">
        <f>2</f>
        <v/>
      </c>
      <c r="E84" s="159">
        <f>C84*D84</f>
        <v/>
      </c>
    </row>
    <row r="85" ht="15" customHeight="1" s="95">
      <c r="A85" s="114" t="inlineStr">
        <is>
          <t>목공사 (기본 출장)</t>
        </is>
      </c>
      <c r="B85" s="111">
        <f>IFERROR((INDEX(자재마스터!$F:$F, MATCH("carpentry_base|가성비",자재마스터!$Z:$Z,0)) &amp; " " &amp; INDEX(자재마스터!$G:$G, MATCH("carpentry_base|가성비",자재마스터!$Z:$Z,0)))&amp;" ("&amp;INDEX(자재마스터!$J:$J,MATCH("carpentry_base|가성비",자재마스터!$Z:$Z,0))&amp;")","매칭없음")</f>
        <v/>
      </c>
      <c r="C85" s="162">
        <f>IFERROR(INDEX(자재마스터!$M:$M,MATCH("carpentry_base|가성비",자재마스터!$Z:$Z,0)),0)</f>
        <v/>
      </c>
      <c r="D85" s="177">
        <f>1</f>
        <v/>
      </c>
      <c r="E85" s="159">
        <f>C85*D85</f>
        <v/>
      </c>
    </row>
    <row r="86" ht="15" customHeight="1" s="95">
      <c r="A86" s="114" t="inlineStr">
        <is>
          <t>확장공사 (샷시 별도)</t>
        </is>
      </c>
      <c r="B86" s="111">
        <f>IFERROR((INDEX(자재마스터!$F:$F, MATCH("expansion|가성비",자재마스터!$Z:$Z,0)) &amp; " " &amp; INDEX(자재마스터!$G:$G, MATCH("expansion|가성비",자재마스터!$Z:$Z,0)))&amp;" ("&amp;INDEX(자재마스터!$J:$J,MATCH("expansion|가성비",자재마스터!$Z:$Z,0))&amp;")","매칭없음")</f>
        <v/>
      </c>
      <c r="C86" s="162">
        <f>IFERROR(INDEX(자재마스터!$M:$M,MATCH("expansion|가성비",자재마스터!$Z:$Z,0)),0)</f>
        <v/>
      </c>
      <c r="D86" s="177">
        <f>B27</f>
        <v/>
      </c>
      <c r="E86" s="159">
        <f>C86*D86</f>
        <v/>
      </c>
    </row>
    <row r="87" ht="15" customHeight="1" s="95">
      <c r="A87" s="114" t="inlineStr">
        <is>
          <t>구청 확장공사 신고</t>
        </is>
      </c>
      <c r="B87" s="111">
        <f>IFERROR((INDEX(자재마스터!$F:$F, MATCH("expansion_permit|가성비",자재마스터!$Z:$Z,0)) &amp; " " &amp; INDEX(자재마스터!$G:$G, MATCH("expansion_permit|가성비",자재마스터!$Z:$Z,0)))&amp;" ("&amp;INDEX(자재마스터!$J:$J,MATCH("expansion_permit|가성비",자재마스터!$Z:$Z,0))&amp;")","매칭없음")</f>
        <v/>
      </c>
      <c r="C87" s="162">
        <f>IFERROR(INDEX(자재마스터!$M:$M,MATCH("expansion_permit|가성비",자재마스터!$Z:$Z,0)),0)</f>
        <v/>
      </c>
      <c r="D87" s="177">
        <f>1</f>
        <v/>
      </c>
      <c r="E87" s="159">
        <f>C87*D87</f>
        <v/>
      </c>
    </row>
    <row r="88" ht="15" customHeight="1" s="95">
      <c r="A88" s="114" t="inlineStr">
        <is>
          <t>발코니 도장</t>
        </is>
      </c>
      <c r="B88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8" s="162">
        <f>IFERROR(INDEX(자재마스터!$M:$M,MATCH("balcony_paint|가성비",자재마스터!$Z:$Z,0)),0)</f>
        <v/>
      </c>
      <c r="D88" s="177">
        <f>B24</f>
        <v/>
      </c>
      <c r="E88" s="159">
        <f>C88*D88</f>
        <v/>
      </c>
    </row>
    <row r="89" ht="15" customHeight="1" s="95">
      <c r="A89" s="114" t="inlineStr">
        <is>
          <t>다용도실 도장</t>
        </is>
      </c>
      <c r="B89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9" s="162">
        <f>IFERROR(INDEX(자재마스터!$M:$M,MATCH("balcony_paint|가성비",자재마스터!$Z:$Z,0)),0)</f>
        <v/>
      </c>
      <c r="D89" s="177">
        <f>B26</f>
        <v/>
      </c>
      <c r="E89" s="159">
        <f>C89*D89</f>
        <v/>
      </c>
    </row>
    <row r="90" ht="15" customHeight="1" s="95">
      <c r="A90" s="114" t="inlineStr">
        <is>
          <t>발코니 바닥타일</t>
        </is>
      </c>
      <c r="B90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0" s="162">
        <f>IFERROR(INDEX(자재마스터!$M:$M,MATCH("balcony_floor_tile|가성비",자재마스터!$Z:$Z,0)),0)</f>
        <v/>
      </c>
      <c r="D90" s="177">
        <f>B23</f>
        <v/>
      </c>
      <c r="E90" s="159">
        <f>C90*D90</f>
        <v/>
      </c>
    </row>
    <row r="91" ht="15" customHeight="1" s="95">
      <c r="A91" s="114" t="inlineStr">
        <is>
          <t>다용도실 바닥타일</t>
        </is>
      </c>
      <c r="B91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1" s="162">
        <f>IFERROR(INDEX(자재마스터!$M:$M,MATCH("balcony_floor_tile|가성비",자재마스터!$Z:$Z,0)),0)</f>
        <v/>
      </c>
      <c r="D91" s="177">
        <f>B25</f>
        <v/>
      </c>
      <c r="E91" s="159">
        <f>C91*D91</f>
        <v/>
      </c>
    </row>
    <row r="92" ht="15" customHeight="1" s="95">
      <c r="A92" s="114" t="inlineStr">
        <is>
          <t>가성비 합계</t>
        </is>
      </c>
      <c r="B92" s="167" t="n"/>
      <c r="C92" s="167" t="n"/>
      <c r="D92" s="167" t="n"/>
      <c r="E92" s="159">
        <f>SUM(E39:E91)</f>
        <v/>
      </c>
    </row>
    <row r="93" ht="15" customHeight="1" s="95">
      <c r="A93" s="114" t="inlineStr">
        <is>
          <t>가성비 평당</t>
        </is>
      </c>
      <c r="B93" s="167" t="n"/>
      <c r="C93" s="167" t="n"/>
      <c r="D93" s="167" t="n"/>
      <c r="E93" s="159">
        <f>E92/B4</f>
        <v/>
      </c>
    </row>
    <row r="95" ht="15" customHeight="1" s="95">
      <c r="A95" s="172" t="inlineStr">
        <is>
          <t>■ 표준 등급</t>
        </is>
      </c>
    </row>
    <row r="96" ht="15" customHeight="1" s="95">
      <c r="A96" s="114" t="inlineStr">
        <is>
          <t>공종</t>
        </is>
      </c>
      <c r="B96" s="114" t="inlineStr">
        <is>
          <t>기준자재</t>
        </is>
      </c>
      <c r="C96" s="114" t="inlineStr">
        <is>
          <t>단가(원)</t>
        </is>
      </c>
      <c r="D96" s="114" t="inlineStr">
        <is>
          <t>수량</t>
        </is>
      </c>
      <c r="E96" s="114" t="inlineStr">
        <is>
          <t>공사비(원)</t>
        </is>
      </c>
    </row>
    <row r="97" ht="15" customHeight="1" s="95">
      <c r="A97" s="114" t="inlineStr">
        <is>
          <t>철거공사</t>
        </is>
      </c>
      <c r="B97" s="111">
        <f>IFERROR((INDEX(자재마스터!$F:$F, MATCH("철거|표준",자재마스터!$AA:$AA,0)) &amp; " " &amp; INDEX(자재마스터!$G:$G, MATCH("철거|표준",자재마스터!$AA:$AA,0)))&amp;" ("&amp;INDEX(자재마스터!$J:$J,MATCH("철거|표준",자재마스터!$AA:$AA,0))&amp;")","매칭없음")</f>
        <v/>
      </c>
      <c r="C97" s="162">
        <f>IFERROR(INDEX(자재마스터!$M:$M,MATCH("철거|표준",자재마스터!$AA:$AA,0)),0)</f>
        <v/>
      </c>
      <c r="D97" s="177">
        <f>B8</f>
        <v/>
      </c>
      <c r="E97" s="159">
        <f>C97*D97</f>
        <v/>
      </c>
    </row>
    <row r="98" ht="15" customHeight="1" s="95">
      <c r="A98" s="114" t="inlineStr">
        <is>
          <t>단열공사</t>
        </is>
      </c>
      <c r="B98" s="111">
        <f>IFERROR((INDEX(자재마스터!$F:$F, MATCH("insulation|표준",자재마스터!$Z:$Z,0)) &amp; " " &amp; INDEX(자재마스터!$G:$G, MATCH("insulation|표준",자재마스터!$Z:$Z,0)))&amp;" ("&amp;INDEX(자재마스터!$J:$J,MATCH("insulation|표준",자재마스터!$Z:$Z,0))&amp;")","매칭없음")</f>
        <v/>
      </c>
      <c r="C98" s="162">
        <f>IFERROR(INDEX(자재마스터!$M:$M,MATCH("insulation|표준",자재마스터!$Z:$Z,0)),0)</f>
        <v/>
      </c>
      <c r="D98" s="177">
        <f>B8</f>
        <v/>
      </c>
      <c r="E98" s="159">
        <f>C98*D98</f>
        <v/>
      </c>
    </row>
    <row r="99" ht="15" customHeight="1" s="95">
      <c r="A99" s="114" t="inlineStr">
        <is>
          <t>샷시 비확장부</t>
        </is>
      </c>
      <c r="B99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99" s="162">
        <f>IFERROR(INDEX(자재마스터!$M:$M,MATCH("window|표준",자재마스터!$Z:$Z,0)),0)</f>
        <v/>
      </c>
      <c r="D99" s="177">
        <f>B29</f>
        <v/>
      </c>
      <c r="E99" s="159">
        <f>C99*D99</f>
        <v/>
      </c>
    </row>
    <row r="100" ht="15" customHeight="1" s="95">
      <c r="A100" s="114" t="inlineStr">
        <is>
          <t>샷시 확장부 자동</t>
        </is>
      </c>
      <c r="B100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100" s="162">
        <f>IFERROR(INDEX(자재마스터!$M:$M,MATCH("window|표준",자재마스터!$Z:$Z,0)),0)</f>
        <v/>
      </c>
      <c r="D100" s="177">
        <f>B30</f>
        <v/>
      </c>
      <c r="E100" s="159">
        <f>C100*D100</f>
        <v/>
      </c>
    </row>
    <row r="101" ht="15" customHeight="1" s="95">
      <c r="A101" s="114" t="inlineStr">
        <is>
          <t>바닥재</t>
        </is>
      </c>
      <c r="B101" s="111">
        <f>IFERROR((INDEX(자재마스터!$F:$F, MATCH("flooring|표준",자재마스터!$Z:$Z,0)) &amp; " " &amp; INDEX(자재마스터!$G:$G, MATCH("flooring|표준",자재마스터!$Z:$Z,0)))&amp;" ("&amp;INDEX(자재마스터!$J:$J,MATCH("flooring|표준",자재마스터!$Z:$Z,0))&amp;")","매칭없음")</f>
        <v/>
      </c>
      <c r="C101" s="162">
        <f>IFERROR(INDEX(자재마스터!$M:$M,MATCH("flooring|표준",자재마스터!$Z:$Z,0)),0)</f>
        <v/>
      </c>
      <c r="D101" s="177">
        <f>B19</f>
        <v/>
      </c>
      <c r="E101" s="159">
        <f>C101*D101</f>
        <v/>
      </c>
    </row>
    <row r="102" ht="15" customHeight="1" s="95">
      <c r="A102" s="114" t="inlineStr">
        <is>
          <t>도배</t>
        </is>
      </c>
      <c r="B102" s="111">
        <f>IFERROR((INDEX(자재마스터!$F:$F, MATCH("wallpaper|표준",자재마스터!$Z:$Z,0)) &amp; " " &amp; INDEX(자재마스터!$G:$G, MATCH("wallpaper|표준",자재마스터!$Z:$Z,0)))&amp;" ("&amp;INDEX(자재마스터!$J:$J,MATCH("wallpaper|표준",자재마스터!$Z:$Z,0))&amp;")","매칭없음")</f>
        <v/>
      </c>
      <c r="C102" s="162">
        <f>IFERROR(INDEX(자재마스터!$M:$M,MATCH("wallpaper|표준",자재마스터!$Z:$Z,0)),0)</f>
        <v/>
      </c>
      <c r="D102" s="177">
        <f>B20</f>
        <v/>
      </c>
      <c r="E102" s="159">
        <f>C102*D102</f>
        <v/>
      </c>
    </row>
    <row r="103" ht="15" customHeight="1" s="95">
      <c r="A103" s="114" t="inlineStr">
        <is>
          <t>몰딩</t>
        </is>
      </c>
      <c r="B103" s="111">
        <f>IFERROR((INDEX(자재마스터!$F:$F, MATCH("molding|표준",자재마스터!$Z:$Z,0)) &amp; " " &amp; INDEX(자재마스터!$G:$G, MATCH("molding|표준",자재마스터!$Z:$Z,0)))&amp;" ("&amp;INDEX(자재마스터!$J:$J,MATCH("molding|표준",자재마스터!$Z:$Z,0))&amp;")","매칭없음")</f>
        <v/>
      </c>
      <c r="C103" s="162">
        <f>IFERROR(INDEX(자재마스터!$M:$M,MATCH("molding|표준",자재마스터!$Z:$Z,0)),0)</f>
        <v/>
      </c>
      <c r="D103" s="177">
        <f>B18</f>
        <v/>
      </c>
      <c r="E103" s="159">
        <f>C103*D103</f>
        <v/>
      </c>
    </row>
    <row r="104" ht="15" customHeight="1" s="95">
      <c r="A104" s="114" t="inlineStr">
        <is>
          <t>걸레받이</t>
        </is>
      </c>
      <c r="B104" s="111">
        <f>IFERROR((INDEX(자재마스터!$F:$F, MATCH("baseboard|표준",자재마스터!$Z:$Z,0)) &amp; " " &amp; INDEX(자재마스터!$G:$G, MATCH("baseboard|표준",자재마스터!$Z:$Z,0)))&amp;" ("&amp;INDEX(자재마스터!$J:$J,MATCH("baseboard|표준",자재마스터!$Z:$Z,0))&amp;")","매칭없음")</f>
        <v/>
      </c>
      <c r="C104" s="162">
        <f>IFERROR(INDEX(자재마스터!$M:$M,MATCH("baseboard|표준",자재마스터!$Z:$Z,0)),0)</f>
        <v/>
      </c>
      <c r="D104" s="177">
        <f>B9</f>
        <v/>
      </c>
      <c r="E104" s="159">
        <f>C104*D104</f>
        <v/>
      </c>
    </row>
    <row r="105" ht="15" customHeight="1" s="95">
      <c r="A105" s="114" t="inlineStr">
        <is>
          <t>욕실 - 젠다이</t>
        </is>
      </c>
      <c r="B105" s="111">
        <f>IFERROR((INDEX(자재마스터!$F:$F, MATCH("bath_jendai|표준",자재마스터!$Z:$Z,0)) &amp; " " &amp; INDEX(자재마스터!$G:$G, MATCH("bath_jendai|표준",자재마스터!$Z:$Z,0)))&amp;" ("&amp;INDEX(자재마스터!$J:$J,MATCH("bath_jendai|표준",자재마스터!$Z:$Z,0))&amp;")","매칭없음")</f>
        <v/>
      </c>
      <c r="C105" s="162">
        <f>IFERROR(INDEX(자재마스터!$M:$M,MATCH("bath_jendai|표준",자재마스터!$Z:$Z,0)),0)</f>
        <v/>
      </c>
      <c r="D105" s="177">
        <f>2</f>
        <v/>
      </c>
      <c r="E105" s="159">
        <f>C105*D105</f>
        <v/>
      </c>
    </row>
    <row r="106" ht="15" customHeight="1" s="95">
      <c r="A106" s="114" t="inlineStr">
        <is>
          <t>욕실 - 방수</t>
        </is>
      </c>
      <c r="B106" s="111">
        <f>IFERROR((INDEX(자재마스터!$F:$F, MATCH("bath_waterproof|표준",자재마스터!$Z:$Z,0)) &amp; " " &amp; INDEX(자재마스터!$G:$G, MATCH("bath_waterproof|표준",자재마스터!$Z:$Z,0)))&amp;" ("&amp;INDEX(자재마스터!$J:$J,MATCH("bath_waterproof|표준",자재마스터!$Z:$Z,0))&amp;")","매칭없음")</f>
        <v/>
      </c>
      <c r="C106" s="162">
        <f>IFERROR(INDEX(자재마스터!$M:$M,MATCH("bath_waterproof|표준",자재마스터!$Z:$Z,0)),0)</f>
        <v/>
      </c>
      <c r="D106" s="177">
        <f>B21</f>
        <v/>
      </c>
      <c r="E106" s="159">
        <f>C106*D106</f>
        <v/>
      </c>
    </row>
    <row r="107" ht="15" customHeight="1" s="95">
      <c r="A107" s="114" t="inlineStr">
        <is>
          <t>욕실 - 타일자재 (벽+바닥)</t>
        </is>
      </c>
      <c r="B107" s="111">
        <f>IFERROR((INDEX(자재마스터!$F:$F, MATCH("bath_tile|표준",자재마스터!$Z:$Z,0)) &amp; " " &amp; INDEX(자재마스터!$G:$G, MATCH("bath_tile|표준",자재마스터!$Z:$Z,0)))&amp;" ("&amp;INDEX(자재마스터!$J:$J,MATCH("bath_tile|표준",자재마스터!$Z:$Z,0))&amp;")","매칭없음")</f>
        <v/>
      </c>
      <c r="C107" s="162">
        <f>IFERROR(INDEX(자재마스터!$M:$M,MATCH("bath_tile|표준",자재마스터!$Z:$Z,0)),0)</f>
        <v/>
      </c>
      <c r="D107" s="177">
        <f>B21*2</f>
        <v/>
      </c>
      <c r="E107" s="159">
        <f>C107*D107</f>
        <v/>
      </c>
    </row>
    <row r="108" ht="15" customHeight="1" s="95">
      <c r="A108" s="114" t="inlineStr">
        <is>
          <t>욕실 - 타일시공</t>
        </is>
      </c>
      <c r="B108" s="111">
        <f>IFERROR((INDEX(자재마스터!$F:$F, MATCH("bath_tile_method|표준",자재마스터!$Z:$Z,0)) &amp; " " &amp; INDEX(자재마스터!$G:$G, MATCH("bath_tile_method|표준",자재마스터!$Z:$Z,0)))&amp;" ("&amp;INDEX(자재마스터!$J:$J,MATCH("bath_tile_method|표준",자재마스터!$Z:$Z,0))&amp;")","매칭없음")</f>
        <v/>
      </c>
      <c r="C108" s="162">
        <f>IFERROR(INDEX(자재마스터!$M:$M,MATCH("bath_tile_method|표준",자재마스터!$Z:$Z,0)),0)</f>
        <v/>
      </c>
      <c r="D108" s="177">
        <f>B22</f>
        <v/>
      </c>
      <c r="E108" s="159">
        <f>C108*D108</f>
        <v/>
      </c>
    </row>
    <row r="109" ht="15" customHeight="1" s="95">
      <c r="A109" s="114" t="inlineStr">
        <is>
          <t>욕실 - 파티션 (부부)</t>
        </is>
      </c>
      <c r="B109" s="111">
        <f>IFERROR((INDEX(자재마스터!$F:$F, MATCH("bath_partition|표준",자재마스터!$Z:$Z,0)) &amp; " " &amp; INDEX(자재마스터!$G:$G, MATCH("bath_partition|표준",자재마스터!$Z:$Z,0)))&amp;" ("&amp;INDEX(자재마스터!$J:$J,MATCH("bath_partition|표준",자재마스터!$Z:$Z,0))&amp;")","매칭없음")</f>
        <v/>
      </c>
      <c r="C109" s="162">
        <f>IFERROR(INDEX(자재마스터!$M:$M,MATCH("bath_partition|표준",자재마스터!$Z:$Z,0)),0)</f>
        <v/>
      </c>
      <c r="D109" s="177">
        <f>1</f>
        <v/>
      </c>
      <c r="E109" s="159">
        <f>C109*D109</f>
        <v/>
      </c>
    </row>
    <row r="110" ht="15" customHeight="1" s="95">
      <c r="A110" s="114" t="inlineStr">
        <is>
          <t>욕실 - 천정</t>
        </is>
      </c>
      <c r="B110" s="111">
        <f>IFERROR((INDEX(자재마스터!$F:$F, MATCH("bath_ceiling|표준",자재마스터!$Z:$Z,0)) &amp; " " &amp; INDEX(자재마스터!$G:$G, MATCH("bath_ceiling|표준",자재마스터!$Z:$Z,0)))&amp;" ("&amp;INDEX(자재마스터!$J:$J,MATCH("bath_ceiling|표준",자재마스터!$Z:$Z,0))&amp;")","매칭없음")</f>
        <v/>
      </c>
      <c r="C110" s="162">
        <f>IFERROR(INDEX(자재마스터!$M:$M,MATCH("bath_ceiling|표준",자재마스터!$Z:$Z,0)),0)</f>
        <v/>
      </c>
      <c r="D110" s="177">
        <f>B21</f>
        <v/>
      </c>
      <c r="E110" s="159">
        <f>C110*D110</f>
        <v/>
      </c>
    </row>
    <row r="111" ht="15" customHeight="1" s="95">
      <c r="A111" s="114" t="inlineStr">
        <is>
          <t>욕실 - 세면대</t>
        </is>
      </c>
      <c r="B111" s="111">
        <f>IFERROR((INDEX(자재마스터!$F:$F, MATCH("bath_basin|표준",자재마스터!$Z:$Z,0)) &amp; " " &amp; INDEX(자재마스터!$G:$G, MATCH("bath_basin|표준",자재마스터!$Z:$Z,0)))&amp;" ("&amp;INDEX(자재마스터!$J:$J,MATCH("bath_basin|표준",자재마스터!$Z:$Z,0))&amp;")","매칭없음")</f>
        <v/>
      </c>
      <c r="C111" s="162">
        <f>IFERROR(INDEX(자재마스터!$M:$M,MATCH("bath_basin|표준",자재마스터!$Z:$Z,0)),0)</f>
        <v/>
      </c>
      <c r="D111" s="177">
        <f>2</f>
        <v/>
      </c>
      <c r="E111" s="159">
        <f>C111*D111</f>
        <v/>
      </c>
    </row>
    <row r="112" ht="15" customHeight="1" s="95">
      <c r="A112" s="114" t="inlineStr">
        <is>
          <t>욕실 - 수전</t>
        </is>
      </c>
      <c r="B112" s="111">
        <f>IFERROR((INDEX(자재마스터!$F:$F, MATCH("bath_faucet|표준",자재마스터!$Z:$Z,0)) &amp; " " &amp; INDEX(자재마스터!$G:$G, MATCH("bath_faucet|표준",자재마스터!$Z:$Z,0)))&amp;" ("&amp;INDEX(자재마스터!$J:$J,MATCH("bath_faucet|표준",자재마스터!$Z:$Z,0))&amp;")","매칭없음")</f>
        <v/>
      </c>
      <c r="C112" s="162">
        <f>IFERROR(INDEX(자재마스터!$M:$M,MATCH("bath_faucet|표준",자재마스터!$Z:$Z,0)),0)</f>
        <v/>
      </c>
      <c r="D112" s="177">
        <f>2</f>
        <v/>
      </c>
      <c r="E112" s="159">
        <f>C112*D112</f>
        <v/>
      </c>
    </row>
    <row r="113" ht="15" customHeight="1" s="95">
      <c r="A113" s="114" t="inlineStr">
        <is>
          <t>욕실 - 양변기</t>
        </is>
      </c>
      <c r="B113" s="111">
        <f>IFERROR((INDEX(자재마스터!$F:$F, MATCH("bath_toilet|표준",자재마스터!$Z:$Z,0)) &amp; " " &amp; INDEX(자재마스터!$G:$G, MATCH("bath_toilet|표준",자재마스터!$Z:$Z,0)))&amp;" ("&amp;INDEX(자재마스터!$J:$J,MATCH("bath_toilet|표준",자재마스터!$Z:$Z,0))&amp;")","매칭없음")</f>
        <v/>
      </c>
      <c r="C113" s="162">
        <f>IFERROR(INDEX(자재마스터!$M:$M,MATCH("bath_toilet|표준",자재마스터!$Z:$Z,0)),0)</f>
        <v/>
      </c>
      <c r="D113" s="177">
        <f>2</f>
        <v/>
      </c>
      <c r="E113" s="159">
        <f>C113*D113</f>
        <v/>
      </c>
    </row>
    <row r="114" ht="15" customHeight="1" s="95">
      <c r="A114" s="114" t="inlineStr">
        <is>
          <t>욕실 - 악세사리</t>
        </is>
      </c>
      <c r="B114" s="111">
        <f>IFERROR((INDEX(자재마스터!$F:$F, MATCH("bath_accessory|표준",자재마스터!$Z:$Z,0)) &amp; " " &amp; INDEX(자재마스터!$G:$G, MATCH("bath_accessory|표준",자재마스터!$Z:$Z,0)))&amp;" ("&amp;INDEX(자재마스터!$J:$J,MATCH("bath_accessory|표준",자재마스터!$Z:$Z,0))&amp;")","매칭없음")</f>
        <v/>
      </c>
      <c r="C114" s="162">
        <f>IFERROR(INDEX(자재마스터!$M:$M,MATCH("bath_accessory|표준",자재마스터!$Z:$Z,0)),0)</f>
        <v/>
      </c>
      <c r="D114" s="177">
        <f>2</f>
        <v/>
      </c>
      <c r="E114" s="159">
        <f>C114*D114</f>
        <v/>
      </c>
    </row>
    <row r="115" ht="15" customHeight="1" s="95">
      <c r="A115" s="114" t="inlineStr">
        <is>
          <t>욕실 - 줄눈</t>
        </is>
      </c>
      <c r="B115" s="111">
        <f>IFERROR((INDEX(자재마스터!$F:$F, MATCH("bath_grout|표준",자재마스터!$Z:$Z,0)) &amp; " " &amp; INDEX(자재마스터!$G:$G, MATCH("bath_grout|표준",자재마스터!$Z:$Z,0)))&amp;" ("&amp;INDEX(자재마스터!$J:$J,MATCH("bath_grout|표준",자재마스터!$Z:$Z,0))&amp;")","매칭없음")</f>
        <v/>
      </c>
      <c r="C115" s="162">
        <f>IFERROR(INDEX(자재마스터!$M:$M,MATCH("bath_grout|표준",자재마스터!$Z:$Z,0)),0)</f>
        <v/>
      </c>
      <c r="D115" s="177">
        <f>B21</f>
        <v/>
      </c>
      <c r="E115" s="159">
        <f>C115*D115</f>
        <v/>
      </c>
    </row>
    <row r="116" ht="15" customHeight="1" s="95">
      <c r="A116" s="114" t="inlineStr">
        <is>
          <t>욕실 설치비</t>
        </is>
      </c>
      <c r="B116" s="111">
        <f>IFERROR((INDEX(자재마스터!$F:$F, MATCH("bath_install|표준",자재마스터!$Z:$Z,0)) &amp; " " &amp; INDEX(자재마스터!$G:$G, MATCH("bath_install|표준",자재마스터!$Z:$Z,0)))&amp;" ("&amp;INDEX(자재마스터!$J:$J,MATCH("bath_install|표준",자재마스터!$Z:$Z,0))&amp;")","매칭없음")</f>
        <v/>
      </c>
      <c r="C116" s="162">
        <f>IFERROR(INDEX(자재마스터!$M:$M,MATCH("bath_install|표준",자재마스터!$Z:$Z,0)),0)</f>
        <v/>
      </c>
      <c r="D116" s="177">
        <f>2</f>
        <v/>
      </c>
      <c r="E116" s="159">
        <f>C116*D116</f>
        <v/>
      </c>
    </row>
    <row r="117" ht="15" customHeight="1" s="95">
      <c r="A117" s="114" t="inlineStr">
        <is>
          <t>타일 시공팀</t>
        </is>
      </c>
      <c r="B117" s="111">
        <f>IFERROR((INDEX(자재마스터!$F:$F, MATCH("tile_labor|표준",자재마스터!$Z:$Z,0)) &amp; " " &amp; INDEX(자재마스터!$G:$G, MATCH("tile_labor|표준",자재마스터!$Z:$Z,0)))&amp;" ("&amp;INDEX(자재마스터!$J:$J,MATCH("tile_labor|표준",자재마스터!$Z:$Z,0))&amp;")","매칭없음")</f>
        <v/>
      </c>
      <c r="C117" s="162">
        <f>IFERROR(INDEX(자재마스터!$M:$M,MATCH("tile_labor|표준",자재마스터!$Z:$Z,0)),0)</f>
        <v/>
      </c>
      <c r="D117" s="177">
        <f>B33</f>
        <v/>
      </c>
      <c r="E117" s="159">
        <f>C117*D117</f>
        <v/>
      </c>
    </row>
    <row r="118" ht="15" customHeight="1" s="95">
      <c r="A118" s="114" t="inlineStr">
        <is>
          <t>주방 - 몸체</t>
        </is>
      </c>
      <c r="B118" s="111">
        <f>IFERROR((INDEX(자재마스터!$F:$F, MATCH("kitchen_body|표준",자재마스터!$Z:$Z,0)) &amp; " " &amp; INDEX(자재마스터!$G:$G, MATCH("kitchen_body|표준",자재마스터!$Z:$Z,0)))&amp;" ("&amp;INDEX(자재마스터!$J:$J,MATCH("kitchen_body|표준",자재마스터!$Z:$Z,0))&amp;")","매칭없음")</f>
        <v/>
      </c>
      <c r="C118" s="162">
        <f>IFERROR(INDEX(자재마스터!$M:$M,MATCH("kitchen_body|표준",자재마스터!$Z:$Z,0)),0)</f>
        <v/>
      </c>
      <c r="D118" s="177">
        <f>3.6</f>
        <v/>
      </c>
      <c r="E118" s="159">
        <f>C118*D118</f>
        <v/>
      </c>
    </row>
    <row r="119" ht="15" customHeight="1" s="95">
      <c r="A119" s="114" t="inlineStr">
        <is>
          <t>주방 - 미드웨이</t>
        </is>
      </c>
      <c r="B119" s="111">
        <f>IFERROR((INDEX(자재마스터!$F:$F, MATCH("kitchen_midway|표준",자재마스터!$Z:$Z,0)) &amp; " " &amp; INDEX(자재마스터!$G:$G, MATCH("kitchen_midway|표준",자재마스터!$Z:$Z,0)))&amp;" ("&amp;INDEX(자재마스터!$J:$J,MATCH("kitchen_midway|표준",자재마스터!$Z:$Z,0))&amp;")","매칭없음")</f>
        <v/>
      </c>
      <c r="C119" s="162">
        <f>IFERROR(INDEX(자재마스터!$M:$M,MATCH("kitchen_midway|표준",자재마스터!$Z:$Z,0)),0)</f>
        <v/>
      </c>
      <c r="D119" s="177">
        <f>3.6</f>
        <v/>
      </c>
      <c r="E119" s="159">
        <f>C119*D119</f>
        <v/>
      </c>
    </row>
    <row r="120" ht="15" customHeight="1" s="95">
      <c r="A120" s="114" t="inlineStr">
        <is>
          <t>주방 - 도어</t>
        </is>
      </c>
      <c r="B120" s="111">
        <f>IFERROR((INDEX(자재마스터!$F:$F, MATCH("kitchen_door|표준",자재마스터!$Z:$Z,0)) &amp; " " &amp; INDEX(자재마스터!$G:$G, MATCH("kitchen_door|표준",자재마스터!$Z:$Z,0)))&amp;" ("&amp;INDEX(자재마스터!$J:$J,MATCH("kitchen_door|표준",자재마스터!$Z:$Z,0))&amp;")","매칭없음")</f>
        <v/>
      </c>
      <c r="C120" s="162">
        <f>IFERROR(INDEX(자재마스터!$M:$M,MATCH("kitchen_door|표준",자재마스터!$Z:$Z,0)),0)</f>
        <v/>
      </c>
      <c r="D120" s="177">
        <f>3.6</f>
        <v/>
      </c>
      <c r="E120" s="159">
        <f>C120*D120</f>
        <v/>
      </c>
    </row>
    <row r="121" ht="15" customHeight="1" s="95">
      <c r="A121" s="114" t="inlineStr">
        <is>
          <t>주방 - 상판</t>
        </is>
      </c>
      <c r="B121" s="111">
        <f>IFERROR((INDEX(자재마스터!$F:$F, MATCH("kitchen_top|표준",자재마스터!$Z:$Z,0)) &amp; " " &amp; INDEX(자재마스터!$G:$G, MATCH("kitchen_top|표준",자재마스터!$Z:$Z,0)))&amp;" ("&amp;INDEX(자재마스터!$J:$J,MATCH("kitchen_top|표준",자재마스터!$Z:$Z,0))&amp;")","매칭없음")</f>
        <v/>
      </c>
      <c r="C121" s="162">
        <f>IFERROR(INDEX(자재마스터!$M:$M,MATCH("kitchen_top|표준",자재마스터!$Z:$Z,0)),0)</f>
        <v/>
      </c>
      <c r="D121" s="177">
        <f>3.6</f>
        <v/>
      </c>
      <c r="E121" s="159">
        <f>C121*D121</f>
        <v/>
      </c>
    </row>
    <row r="122" ht="15" customHeight="1" s="95">
      <c r="A122" s="114" t="inlineStr">
        <is>
          <t>주방 - 하드웨어</t>
        </is>
      </c>
      <c r="B122" s="111">
        <f>IFERROR((INDEX(자재마스터!$F:$F, MATCH("kitchen_hardware|표준",자재마스터!$Z:$Z,0)) &amp; " " &amp; INDEX(자재마스터!$G:$G, MATCH("kitchen_hardware|표준",자재마스터!$Z:$Z,0)))&amp;" ("&amp;INDEX(자재마스터!$J:$J,MATCH("kitchen_hardware|표준",자재마스터!$Z:$Z,0))&amp;")","매칭없음")</f>
        <v/>
      </c>
      <c r="C122" s="162">
        <f>IFERROR(INDEX(자재마스터!$M:$M,MATCH("kitchen_hardware|표준",자재마스터!$Z:$Z,0)),0)</f>
        <v/>
      </c>
      <c r="D122" s="177">
        <f>ROUND(3.6*4.5,0)</f>
        <v/>
      </c>
      <c r="E122" s="159">
        <f>C122*D122</f>
        <v/>
      </c>
    </row>
    <row r="123" ht="15" customHeight="1" s="95">
      <c r="A123" s="114" t="inlineStr">
        <is>
          <t>주방 - 후드</t>
        </is>
      </c>
      <c r="B123" s="111">
        <f>IFERROR((INDEX(자재마스터!$F:$F, MATCH("kitchen_hood|표준",자재마스터!$Z:$Z,0)) &amp; " " &amp; INDEX(자재마스터!$G:$G, MATCH("kitchen_hood|표준",자재마스터!$Z:$Z,0)))&amp;" ("&amp;INDEX(자재마스터!$J:$J,MATCH("kitchen_hood|표준",자재마스터!$Z:$Z,0))&amp;")","매칭없음")</f>
        <v/>
      </c>
      <c r="C123" s="162">
        <f>IFERROR(INDEX(자재마스터!$M:$M,MATCH("kitchen_hood|표준",자재마스터!$Z:$Z,0)),0)</f>
        <v/>
      </c>
      <c r="D123" s="177">
        <f>1</f>
        <v/>
      </c>
      <c r="E123" s="159">
        <f>C123*D123</f>
        <v/>
      </c>
    </row>
    <row r="124" ht="15" customHeight="1" s="95">
      <c r="A124" s="114" t="inlineStr">
        <is>
          <t>주방 - 싱크볼</t>
        </is>
      </c>
      <c r="B124" s="111">
        <f>IFERROR((INDEX(자재마스터!$F:$F, MATCH("kitchen_sink|표준",자재마스터!$Z:$Z,0)) &amp; " " &amp; INDEX(자재마스터!$G:$G, MATCH("kitchen_sink|표준",자재마스터!$Z:$Z,0)))&amp;" ("&amp;INDEX(자재마스터!$J:$J,MATCH("kitchen_sink|표준",자재마스터!$Z:$Z,0))&amp;")","매칭없음")</f>
        <v/>
      </c>
      <c r="C124" s="162">
        <f>IFERROR(INDEX(자재마스터!$M:$M,MATCH("kitchen_sink|표준",자재마스터!$Z:$Z,0)),0)</f>
        <v/>
      </c>
      <c r="D124" s="177">
        <f>1</f>
        <v/>
      </c>
      <c r="E124" s="159">
        <f>C124*D124</f>
        <v/>
      </c>
    </row>
    <row r="125" ht="15" customHeight="1" s="95">
      <c r="A125" s="114" t="inlineStr">
        <is>
          <t>중문 (3연동)</t>
        </is>
      </c>
      <c r="B125" s="111">
        <f>IFERROR((INDEX(자재마스터!$F:$F, MATCH("sliding_door|표준",자재마스터!$Z:$Z,0)) &amp; " " &amp; INDEX(자재마스터!$G:$G, MATCH("sliding_door|표준",자재마스터!$Z:$Z,0)))&amp;" ("&amp;INDEX(자재마스터!$J:$J,MATCH("sliding_door|표준",자재마스터!$Z:$Z,0))&amp;")","매칭없음")</f>
        <v/>
      </c>
      <c r="C125" s="162">
        <f>IFERROR(INDEX(자재마스터!$M:$M,MATCH("sliding_door|표준",자재마스터!$Z:$Z,0)),0)</f>
        <v/>
      </c>
      <c r="D125" s="177">
        <f>1</f>
        <v/>
      </c>
      <c r="E125" s="159">
        <f>C125*D125</f>
        <v/>
      </c>
    </row>
    <row r="126" ht="15" customHeight="1" s="95">
      <c r="A126" s="114" t="inlineStr">
        <is>
          <t>일반가구 (현관)</t>
        </is>
      </c>
      <c r="B126" s="111">
        <f>IFERROR((INDEX(자재마스터!$F:$F, MATCH("general_furniture|표준",자재마스터!$Z:$Z,0)) &amp; " " &amp; INDEX(자재마스터!$G:$G, MATCH("general_furniture|표준",자재마스터!$Z:$Z,0)))&amp;" ("&amp;INDEX(자재마스터!$J:$J,MATCH("general_furniture|표준",자재마스터!$Z:$Z,0))&amp;")","매칭없음")</f>
        <v/>
      </c>
      <c r="C126" s="162">
        <f>IFERROR(INDEX(자재마스터!$M:$M,MATCH("general_furniture|표준",자재마스터!$Z:$Z,0)),0)</f>
        <v/>
      </c>
      <c r="D126" s="177">
        <f>1</f>
        <v/>
      </c>
      <c r="E126" s="159">
        <f>C126*D126</f>
        <v/>
      </c>
    </row>
    <row r="127" ht="15" customHeight="1" s="95">
      <c r="A127" s="114" t="inlineStr">
        <is>
          <t>붙박이장</t>
        </is>
      </c>
      <c r="B127" s="111">
        <f>IFERROR((INDEX(자재마스터!$F:$F, MATCH("closet|표준",자재마스터!$Z:$Z,0)) &amp; " " &amp; INDEX(자재마스터!$G:$G, MATCH("closet|표준",자재마스터!$Z:$Z,0)))&amp;" ("&amp;INDEX(자재마스터!$J:$J,MATCH("closet|표준",자재마스터!$Z:$Z,0))&amp;")","매칭없음")</f>
        <v/>
      </c>
      <c r="C127" s="162">
        <f>IFERROR(INDEX(자재마스터!$M:$M,MATCH("closet|표준",자재마스터!$Z:$Z,0)),0)</f>
        <v/>
      </c>
      <c r="D127" s="177">
        <f>B32</f>
        <v/>
      </c>
      <c r="E127" s="159">
        <f>C127*D127</f>
        <v/>
      </c>
    </row>
    <row r="128" ht="15" customHeight="1" s="95">
      <c r="A128" s="114" t="inlineStr">
        <is>
          <t>전기 기본공사</t>
        </is>
      </c>
      <c r="B128" s="111">
        <f>IFERROR((INDEX(자재마스터!$F:$F, MATCH("electrical_base|표준",자재마스터!$Z:$Z,0)) &amp; " " &amp; INDEX(자재마스터!$G:$G, MATCH("electrical_base|표준",자재마스터!$Z:$Z,0)))&amp;" ("&amp;INDEX(자재마스터!$J:$J,MATCH("electrical_base|표준",자재마스터!$Z:$Z,0))&amp;")","매칭없음")</f>
        <v/>
      </c>
      <c r="C128" s="162">
        <f>IFERROR(INDEX(자재마스터!$M:$M,MATCH("electrical_base|표준",자재마스터!$Z:$Z,0)),0)</f>
        <v/>
      </c>
      <c r="D128" s="177">
        <f>B9</f>
        <v/>
      </c>
      <c r="E128" s="159">
        <f>C128*D128</f>
        <v/>
      </c>
    </row>
    <row r="129" ht="15" customHeight="1" s="95">
      <c r="A129" s="114" t="inlineStr">
        <is>
          <t>스위치/콘센트</t>
        </is>
      </c>
      <c r="B129" s="111">
        <f>IFERROR((INDEX(자재마스터!$F:$F, MATCH("electrical_switch|표준",자재마스터!$Z:$Z,0)) &amp; " " &amp; INDEX(자재마스터!$G:$G, MATCH("electrical_switch|표준",자재마스터!$Z:$Z,0)))&amp;" ("&amp;INDEX(자재마스터!$J:$J,MATCH("electrical_switch|표준",자재마스터!$Z:$Z,0))&amp;")","매칭없음")</f>
        <v/>
      </c>
      <c r="C129" s="162">
        <f>IFERROR(INDEX(자재마스터!$M:$M,MATCH("electrical_switch|표준",자재마스터!$Z:$Z,0)),0)</f>
        <v/>
      </c>
      <c r="D129" s="177">
        <f>B31</f>
        <v/>
      </c>
      <c r="E129" s="159">
        <f>C129*D129</f>
        <v/>
      </c>
    </row>
    <row r="130" ht="15" customHeight="1" s="95">
      <c r="A130" s="114" t="inlineStr">
        <is>
          <t>인덕션 전용선</t>
        </is>
      </c>
      <c r="B130" s="111">
        <f>IFERROR((INDEX(자재마스터!$F:$F, MATCH("induction_line|표준",자재마스터!$Z:$Z,0)) &amp; " " &amp; INDEX(자재마스터!$G:$G, MATCH("induction_line|표준",자재마스터!$Z:$Z,0)))&amp;" ("&amp;INDEX(자재마스터!$J:$J,MATCH("induction_line|표준",자재마스터!$Z:$Z,0))&amp;")","매칭없음")</f>
        <v/>
      </c>
      <c r="C130" s="162">
        <f>IFERROR(INDEX(자재마스터!$M:$M,MATCH("induction_line|표준",자재마스터!$Z:$Z,0)),0)</f>
        <v/>
      </c>
      <c r="D130" s="177">
        <f>1</f>
        <v/>
      </c>
      <c r="E130" s="159">
        <f>C130*D130</f>
        <v/>
      </c>
    </row>
    <row r="131" ht="15" customHeight="1" s="95">
      <c r="A131" s="114" t="inlineStr">
        <is>
          <t>다운라이트</t>
        </is>
      </c>
      <c r="B131" s="111">
        <f>IFERROR((INDEX(자재마스터!$F:$F, MATCH("lighting_downlight|표준",자재마스터!$Z:$Z,0)) &amp; " " &amp; INDEX(자재마스터!$G:$G, MATCH("lighting_downlight|표준",자재마스터!$Z:$Z,0)))&amp;" ("&amp;INDEX(자재마스터!$J:$J,MATCH("lighting_downlight|표준",자재마스터!$Z:$Z,0))&amp;")","매칭없음")</f>
        <v/>
      </c>
      <c r="C131" s="162">
        <f>IFERROR(INDEX(자재마스터!$M:$M,MATCH("lighting_downlight|표준",자재마스터!$Z:$Z,0)),0)</f>
        <v/>
      </c>
      <c r="D131" s="177">
        <f>B34</f>
        <v/>
      </c>
      <c r="E131" s="159">
        <f>C131*D131</f>
        <v/>
      </c>
    </row>
    <row r="132" ht="15" customHeight="1" s="95">
      <c r="A132" s="114" t="inlineStr">
        <is>
          <t>거실 간접조명</t>
        </is>
      </c>
      <c r="B132" s="111">
        <f>IFERROR((INDEX(자재마스터!$F:$F, MATCH("lighting_indirect_living|표준",자재마스터!$Z:$Z,0)) &amp; " " &amp; INDEX(자재마스터!$G:$G, MATCH("lighting_indirect_living|표준",자재마스터!$Z:$Z,0)))&amp;" ("&amp;INDEX(자재마스터!$J:$J,MATCH("lighting_indirect_living|표준",자재마스터!$Z:$Z,0))&amp;")","매칭없음")</f>
        <v/>
      </c>
      <c r="C132" s="162">
        <f>IFERROR(INDEX(자재마스터!$M:$M,MATCH("lighting_indirect_living|표준",자재마스터!$Z:$Z,0)),0)</f>
        <v/>
      </c>
      <c r="D132" s="177">
        <f>1</f>
        <v/>
      </c>
      <c r="E132" s="159">
        <f>C132*D132</f>
        <v/>
      </c>
    </row>
    <row r="133" ht="15" customHeight="1" s="95">
      <c r="A133" s="114" t="inlineStr">
        <is>
          <t>욕실 간접조명</t>
        </is>
      </c>
      <c r="B133" s="111">
        <f>IFERROR((INDEX(자재마스터!$F:$F, MATCH("lighting_indirect_bath|표준",자재마스터!$Z:$Z,0)) &amp; " " &amp; INDEX(자재마스터!$G:$G, MATCH("lighting_indirect_bath|표준",자재마스터!$Z:$Z,0)))&amp;" ("&amp;INDEX(자재마스터!$J:$J,MATCH("lighting_indirect_bath|표준",자재마스터!$Z:$Z,0))&amp;")","매칭없음")</f>
        <v/>
      </c>
      <c r="C133" s="162">
        <f>IFERROR(INDEX(자재마스터!$M:$M,MATCH("lighting_indirect_bath|표준",자재마스터!$Z:$Z,0)),0)</f>
        <v/>
      </c>
      <c r="D133" s="177">
        <f>2</f>
        <v/>
      </c>
      <c r="E133" s="159">
        <f>C133*D133</f>
        <v/>
      </c>
    </row>
    <row r="134" ht="15" customHeight="1" s="95">
      <c r="A134" s="114" t="inlineStr">
        <is>
          <t>거실 마그네틱 라인</t>
        </is>
      </c>
      <c r="B134" s="111">
        <f>IFERROR((INDEX(자재마스터!$F:$F, MATCH("lighting_magnetic_living|표준",자재마스터!$Z:$Z,0)) &amp; " " &amp; INDEX(자재마스터!$G:$G, MATCH("lighting_magnetic_living|표준",자재마스터!$Z:$Z,0)))&amp;" ("&amp;INDEX(자재마스터!$J:$J,MATCH("lighting_magnetic_living|표준",자재마스터!$Z:$Z,0))&amp;")","매칭없음")</f>
        <v/>
      </c>
      <c r="C134" s="162">
        <f>IFERROR(INDEX(자재마스터!$M:$M,MATCH("lighting_magnetic_living|표준",자재마스터!$Z:$Z,0)),0)</f>
        <v/>
      </c>
      <c r="D134" s="177">
        <f>1</f>
        <v/>
      </c>
      <c r="E134" s="159">
        <f>C134*D134</f>
        <v/>
      </c>
    </row>
    <row r="135" ht="15" customHeight="1" s="95">
      <c r="A135" s="114" t="inlineStr">
        <is>
          <t>주방 마그네틱 라인</t>
        </is>
      </c>
      <c r="B135" s="111">
        <f>IFERROR((INDEX(자재마스터!$F:$F, MATCH("lighting_magnetic_kitchen|표준",자재마스터!$Z:$Z,0)) &amp; " " &amp; INDEX(자재마스터!$G:$G, MATCH("lighting_magnetic_kitchen|표준",자재마스터!$Z:$Z,0)))&amp;" ("&amp;INDEX(자재마스터!$J:$J,MATCH("lighting_magnetic_kitchen|표준",자재마스터!$Z:$Z,0))&amp;")","매칭없음")</f>
        <v/>
      </c>
      <c r="C135" s="162">
        <f>IFERROR(INDEX(자재마스터!$M:$M,MATCH("lighting_magnetic_kitchen|표준",자재마스터!$Z:$Z,0)),0)</f>
        <v/>
      </c>
      <c r="D135" s="177">
        <f>1</f>
        <v/>
      </c>
      <c r="E135" s="159">
        <f>C135*D135</f>
        <v/>
      </c>
    </row>
    <row r="136" ht="15" customHeight="1" s="95">
      <c r="A136" s="114" t="inlineStr">
        <is>
          <t>설비 기본공사</t>
        </is>
      </c>
      <c r="B136" s="111">
        <f>IFERROR((INDEX(자재마스터!$F:$F, MATCH("plumbing_base|표준",자재마스터!$Z:$Z,0)) &amp; " " &amp; INDEX(자재마스터!$G:$G, MATCH("plumbing_base|표준",자재마스터!$Z:$Z,0)))&amp;" ("&amp;INDEX(자재마스터!$J:$J,MATCH("plumbing_base|표준",자재마스터!$Z:$Z,0))&amp;")","매칭없음")</f>
        <v/>
      </c>
      <c r="C136" s="162">
        <f>IFERROR(INDEX(자재마스터!$M:$M,MATCH("plumbing_base|표준",자재마스터!$Z:$Z,0)),0)</f>
        <v/>
      </c>
      <c r="D136" s="177">
        <f>B9</f>
        <v/>
      </c>
      <c r="E136" s="159">
        <f>C136*D136</f>
        <v/>
      </c>
    </row>
    <row r="137" ht="15" customHeight="1" s="95">
      <c r="A137" s="114" t="inlineStr">
        <is>
          <t>분배기 교체</t>
        </is>
      </c>
      <c r="B137" s="111">
        <f>IFERROR((INDEX(자재마스터!$F:$F, MATCH("distribution_panel|표준",자재마스터!$Z:$Z,0)) &amp; " " &amp; INDEX(자재마스터!$G:$G, MATCH("distribution_panel|표준",자재마스터!$Z:$Z,0)))&amp;" ("&amp;INDEX(자재마스터!$J:$J,MATCH("distribution_panel|표준",자재마스터!$Z:$Z,0))&amp;")","매칭없음")</f>
        <v/>
      </c>
      <c r="C137" s="162">
        <f>IFERROR(INDEX(자재마스터!$M:$M,MATCH("distribution_panel|표준",자재마스터!$Z:$Z,0)),0)</f>
        <v/>
      </c>
      <c r="D137" s="177">
        <f>1</f>
        <v/>
      </c>
      <c r="E137" s="159">
        <f>C137*D137</f>
        <v/>
      </c>
    </row>
    <row r="138" ht="15" customHeight="1" s="95">
      <c r="A138" s="114" t="inlineStr">
        <is>
          <t>배관 변경</t>
        </is>
      </c>
      <c r="B138" s="111">
        <f>IFERROR((INDEX(자재마스터!$F:$F, MATCH("plumbing_relocation|표준",자재마스터!$Z:$Z,0)) &amp; " " &amp; INDEX(자재마스터!$G:$G, MATCH("plumbing_relocation|표준",자재마스터!$Z:$Z,0)))&amp;" ("&amp;INDEX(자재마스터!$J:$J,MATCH("plumbing_relocation|표준",자재마스터!$Z:$Z,0))&amp;")","매칭없음")</f>
        <v/>
      </c>
      <c r="C138" s="162">
        <f>IFERROR(INDEX(자재마스터!$M:$M,MATCH("plumbing_relocation|표준",자재마스터!$Z:$Z,0)),0)</f>
        <v/>
      </c>
      <c r="D138" s="177">
        <f>1</f>
        <v/>
      </c>
      <c r="E138" s="159">
        <f>C138*D138</f>
        <v/>
      </c>
    </row>
    <row r="139" ht="15" customHeight="1" s="95">
      <c r="A139" s="114" t="inlineStr">
        <is>
          <t>난방온도조절기</t>
        </is>
      </c>
      <c r="B139" s="111">
        <f>IFERROR((INDEX(자재마스터!$F:$F, MATCH("thermostat|표준",자재마스터!$Z:$Z,0)) &amp; " " &amp; INDEX(자재마스터!$G:$G, MATCH("thermostat|표준",자재마스터!$Z:$Z,0)))&amp;" ("&amp;INDEX(자재마스터!$J:$J,MATCH("thermostat|표준",자재마스터!$Z:$Z,0))&amp;")","매칭없음")</f>
        <v/>
      </c>
      <c r="C139" s="162">
        <f>IFERROR(INDEX(자재마스터!$M:$M,MATCH("thermostat|표준",자재마스터!$Z:$Z,0)),0)</f>
        <v/>
      </c>
      <c r="D139" s="177">
        <f>B35</f>
        <v/>
      </c>
      <c r="E139" s="159">
        <f>C139*D139</f>
        <v/>
      </c>
    </row>
    <row r="140" ht="15" customHeight="1" s="95">
      <c r="A140" s="114" t="inlineStr">
        <is>
          <t>시스템에어컨</t>
        </is>
      </c>
      <c r="B140" s="111">
        <f>IFERROR((INDEX(자재마스터!$F:$F, MATCH("aircon|표준",자재마스터!$Z:$Z,0)) &amp; " " &amp; INDEX(자재마스터!$G:$G, MATCH("aircon|표준",자재마스터!$Z:$Z,0)))&amp;" ("&amp;INDEX(자재마스터!$J:$J,MATCH("aircon|표준",자재마스터!$Z:$Z,0))&amp;")","매칭없음")</f>
        <v/>
      </c>
      <c r="C140" s="162">
        <f>IFERROR(INDEX(자재마스터!$M:$M,MATCH("aircon|표준",자재마스터!$Z:$Z,0)),0)</f>
        <v/>
      </c>
      <c r="D140" s="177">
        <f>3</f>
        <v/>
      </c>
      <c r="E140" s="159">
        <f>C140*D140</f>
        <v/>
      </c>
    </row>
    <row r="141" ht="15" customHeight="1" s="95">
      <c r="A141" s="114" t="inlineStr">
        <is>
          <t>에어컨 실외기</t>
        </is>
      </c>
      <c r="B141" s="111">
        <f>IFERROR((INDEX(자재마스터!$F:$F, MATCH("aircon_outdoor|표준",자재마스터!$Z:$Z,0)) &amp; " " &amp; INDEX(자재마스터!$G:$G, MATCH("aircon_outdoor|표준",자재마스터!$Z:$Z,0)))&amp;" ("&amp;INDEX(자재마스터!$J:$J,MATCH("aircon_outdoor|표준",자재마스터!$Z:$Z,0))&amp;")","매칭없음")</f>
        <v/>
      </c>
      <c r="C141" s="162">
        <f>IFERROR(INDEX(자재마스터!$M:$M,MATCH("aircon_outdoor|표준",자재마스터!$Z:$Z,0)),0)</f>
        <v/>
      </c>
      <c r="D141" s="177">
        <f>1</f>
        <v/>
      </c>
      <c r="E141" s="159">
        <f>C141*D141</f>
        <v/>
      </c>
    </row>
    <row r="142" ht="15" customHeight="1" s="95">
      <c r="A142" s="114" t="inlineStr">
        <is>
          <t>실링팬</t>
        </is>
      </c>
      <c r="B142" s="111">
        <f>IFERROR((INDEX(자재마스터!$F:$F, MATCH("ceiling_fan|표준",자재마스터!$Z:$Z,0)) &amp; " " &amp; INDEX(자재마스터!$G:$G, MATCH("ceiling_fan|표준",자재마스터!$Z:$Z,0)))&amp;" ("&amp;INDEX(자재마스터!$J:$J,MATCH("ceiling_fan|표준",자재마스터!$Z:$Z,0))&amp;")","매칭없음")</f>
        <v/>
      </c>
      <c r="C142" s="162">
        <f>IFERROR(INDEX(자재마스터!$M:$M,MATCH("ceiling_fan|표준",자재마스터!$Z:$Z,0)),0)</f>
        <v/>
      </c>
      <c r="D142" s="177">
        <f>2</f>
        <v/>
      </c>
      <c r="E142" s="159">
        <f>C142*D142</f>
        <v/>
      </c>
    </row>
    <row r="143" ht="15" customHeight="1" s="95">
      <c r="A143" s="114" t="inlineStr">
        <is>
          <t>목공사 (기본 출장)</t>
        </is>
      </c>
      <c r="B143" s="111">
        <f>IFERROR((INDEX(자재마스터!$F:$F, MATCH("carpentry_base|표준",자재마스터!$Z:$Z,0)) &amp; " " &amp; INDEX(자재마스터!$G:$G, MATCH("carpentry_base|표준",자재마스터!$Z:$Z,0)))&amp;" ("&amp;INDEX(자재마스터!$J:$J,MATCH("carpentry_base|표준",자재마스터!$Z:$Z,0))&amp;")","매칭없음")</f>
        <v/>
      </c>
      <c r="C143" s="162">
        <f>IFERROR(INDEX(자재마스터!$M:$M,MATCH("carpentry_base|표준",자재마스터!$Z:$Z,0)),0)</f>
        <v/>
      </c>
      <c r="D143" s="177">
        <f>1</f>
        <v/>
      </c>
      <c r="E143" s="159">
        <f>C143*D143</f>
        <v/>
      </c>
    </row>
    <row r="144" ht="15" customHeight="1" s="95">
      <c r="A144" s="114" t="inlineStr">
        <is>
          <t>확장공사 (샷시 별도)</t>
        </is>
      </c>
      <c r="B144" s="111">
        <f>IFERROR((INDEX(자재마스터!$F:$F, MATCH("expansion|표준",자재마스터!$Z:$Z,0)) &amp; " " &amp; INDEX(자재마스터!$G:$G, MATCH("expansion|표준",자재마스터!$Z:$Z,0)))&amp;" ("&amp;INDEX(자재마스터!$J:$J,MATCH("expansion|표준",자재마스터!$Z:$Z,0))&amp;")","매칭없음")</f>
        <v/>
      </c>
      <c r="C144" s="162">
        <f>IFERROR(INDEX(자재마스터!$M:$M,MATCH("expansion|표준",자재마스터!$Z:$Z,0)),0)</f>
        <v/>
      </c>
      <c r="D144" s="177">
        <f>B27</f>
        <v/>
      </c>
      <c r="E144" s="159">
        <f>C144*D144</f>
        <v/>
      </c>
    </row>
    <row r="145" ht="15" customHeight="1" s="95">
      <c r="A145" s="114" t="inlineStr">
        <is>
          <t>구청 확장공사 신고</t>
        </is>
      </c>
      <c r="B145" s="111">
        <f>IFERROR((INDEX(자재마스터!$F:$F, MATCH("expansion_permit|표준",자재마스터!$Z:$Z,0)) &amp; " " &amp; INDEX(자재마스터!$G:$G, MATCH("expansion_permit|표준",자재마스터!$Z:$Z,0)))&amp;" ("&amp;INDEX(자재마스터!$J:$J,MATCH("expansion_permit|표준",자재마스터!$Z:$Z,0))&amp;")","매칭없음")</f>
        <v/>
      </c>
      <c r="C145" s="162">
        <f>IFERROR(INDEX(자재마스터!$M:$M,MATCH("expansion_permit|표준",자재마스터!$Z:$Z,0)),0)</f>
        <v/>
      </c>
      <c r="D145" s="177">
        <f>1</f>
        <v/>
      </c>
      <c r="E145" s="159">
        <f>C145*D145</f>
        <v/>
      </c>
    </row>
    <row r="146" ht="15" customHeight="1" s="95">
      <c r="A146" s="114" t="inlineStr">
        <is>
          <t>발코니 도장</t>
        </is>
      </c>
      <c r="B146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6" s="162">
        <f>IFERROR(INDEX(자재마스터!$M:$M,MATCH("balcony_paint|표준",자재마스터!$Z:$Z,0)),0)</f>
        <v/>
      </c>
      <c r="D146" s="177">
        <f>B24</f>
        <v/>
      </c>
      <c r="E146" s="159">
        <f>C146*D146</f>
        <v/>
      </c>
    </row>
    <row r="147" ht="15" customHeight="1" s="95">
      <c r="A147" s="114" t="inlineStr">
        <is>
          <t>다용도실 도장</t>
        </is>
      </c>
      <c r="B147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7" s="162">
        <f>IFERROR(INDEX(자재마스터!$M:$M,MATCH("balcony_paint|표준",자재마스터!$Z:$Z,0)),0)</f>
        <v/>
      </c>
      <c r="D147" s="177">
        <f>B26</f>
        <v/>
      </c>
      <c r="E147" s="159">
        <f>C147*D147</f>
        <v/>
      </c>
    </row>
    <row r="148" ht="15" customHeight="1" s="95">
      <c r="A148" s="114" t="inlineStr">
        <is>
          <t>발코니 바닥타일</t>
        </is>
      </c>
      <c r="B148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8" s="162">
        <f>IFERROR(INDEX(자재마스터!$M:$M,MATCH("balcony_floor_tile|표준",자재마스터!$Z:$Z,0)),0)</f>
        <v/>
      </c>
      <c r="D148" s="177">
        <f>B23</f>
        <v/>
      </c>
      <c r="E148" s="159">
        <f>C148*D148</f>
        <v/>
      </c>
    </row>
    <row r="149" ht="15" customHeight="1" s="95">
      <c r="A149" s="114" t="inlineStr">
        <is>
          <t>다용도실 바닥타일</t>
        </is>
      </c>
      <c r="B149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9" s="162">
        <f>IFERROR(INDEX(자재마스터!$M:$M,MATCH("balcony_floor_tile|표준",자재마스터!$Z:$Z,0)),0)</f>
        <v/>
      </c>
      <c r="D149" s="177">
        <f>B25</f>
        <v/>
      </c>
      <c r="E149" s="159">
        <f>C149*D149</f>
        <v/>
      </c>
    </row>
    <row r="150" ht="15" customHeight="1" s="95">
      <c r="A150" s="114" t="inlineStr">
        <is>
          <t>표준 합계</t>
        </is>
      </c>
      <c r="B150" s="167" t="n"/>
      <c r="C150" s="167" t="n"/>
      <c r="D150" s="167" t="n"/>
      <c r="E150" s="159">
        <f>SUM(E97:E149)</f>
        <v/>
      </c>
    </row>
    <row r="151" ht="15" customHeight="1" s="95">
      <c r="A151" s="114" t="inlineStr">
        <is>
          <t>표준 평당</t>
        </is>
      </c>
      <c r="B151" s="167" t="n"/>
      <c r="C151" s="167" t="n"/>
      <c r="D151" s="167" t="n"/>
      <c r="E151" s="159">
        <f>E150/B4</f>
        <v/>
      </c>
    </row>
    <row r="153" ht="15" customHeight="1" s="95">
      <c r="A153" s="172" t="inlineStr">
        <is>
          <t>■ 고급 등급</t>
        </is>
      </c>
    </row>
    <row r="154" ht="15" customHeight="1" s="95">
      <c r="A154" s="114" t="inlineStr">
        <is>
          <t>공종</t>
        </is>
      </c>
      <c r="B154" s="114" t="inlineStr">
        <is>
          <t>기준자재</t>
        </is>
      </c>
      <c r="C154" s="114" t="inlineStr">
        <is>
          <t>단가(원)</t>
        </is>
      </c>
      <c r="D154" s="114" t="inlineStr">
        <is>
          <t>수량</t>
        </is>
      </c>
      <c r="E154" s="114" t="inlineStr">
        <is>
          <t>공사비(원)</t>
        </is>
      </c>
    </row>
    <row r="155" ht="15" customHeight="1" s="95">
      <c r="A155" s="114" t="inlineStr">
        <is>
          <t>철거공사</t>
        </is>
      </c>
      <c r="B155" s="111">
        <f>IFERROR((INDEX(자재마스터!$F:$F, MATCH("철거|고급",자재마스터!$AA:$AA,0)) &amp; " " &amp; INDEX(자재마스터!$G:$G, MATCH("철거|고급",자재마스터!$AA:$AA,0)))&amp;" ("&amp;INDEX(자재마스터!$J:$J,MATCH("철거|고급",자재마스터!$AA:$AA,0))&amp;")","매칭없음")</f>
        <v/>
      </c>
      <c r="C155" s="162">
        <f>IFERROR(INDEX(자재마스터!$M:$M,MATCH("철거|고급",자재마스터!$AA:$AA,0)),0)</f>
        <v/>
      </c>
      <c r="D155" s="177">
        <f>B8</f>
        <v/>
      </c>
      <c r="E155" s="159">
        <f>C155*D155</f>
        <v/>
      </c>
    </row>
    <row r="156" ht="15" customHeight="1" s="95">
      <c r="A156" s="114" t="inlineStr">
        <is>
          <t>단열공사</t>
        </is>
      </c>
      <c r="B156" s="111">
        <f>IFERROR((INDEX(자재마스터!$F:$F, MATCH("insulation|고급",자재마스터!$Z:$Z,0)) &amp; " " &amp; INDEX(자재마스터!$G:$G, MATCH("insulation|고급",자재마스터!$Z:$Z,0)))&amp;" ("&amp;INDEX(자재마스터!$J:$J,MATCH("insulation|고급",자재마스터!$Z:$Z,0))&amp;")","매칭없음")</f>
        <v/>
      </c>
      <c r="C156" s="162">
        <f>IFERROR(INDEX(자재마스터!$M:$M,MATCH("insulation|고급",자재마스터!$Z:$Z,0)),0)</f>
        <v/>
      </c>
      <c r="D156" s="177">
        <f>B8</f>
        <v/>
      </c>
      <c r="E156" s="159">
        <f>C156*D156</f>
        <v/>
      </c>
    </row>
    <row r="157" ht="15" customHeight="1" s="95">
      <c r="A157" s="114" t="inlineStr">
        <is>
          <t>샷시 비확장부</t>
        </is>
      </c>
      <c r="B157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7" s="162">
        <f>IFERROR(INDEX(자재마스터!$M:$M,MATCH("window|고급",자재마스터!$Z:$Z,0)),0)</f>
        <v/>
      </c>
      <c r="D157" s="177">
        <f>B29</f>
        <v/>
      </c>
      <c r="E157" s="159">
        <f>C157*D157</f>
        <v/>
      </c>
    </row>
    <row r="158" ht="15" customHeight="1" s="95">
      <c r="A158" s="114" t="inlineStr">
        <is>
          <t>샷시 확장부 자동</t>
        </is>
      </c>
      <c r="B158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8" s="162">
        <f>IFERROR(INDEX(자재마스터!$M:$M,MATCH("window|고급",자재마스터!$Z:$Z,0)),0)</f>
        <v/>
      </c>
      <c r="D158" s="177">
        <f>B30</f>
        <v/>
      </c>
      <c r="E158" s="159">
        <f>C158*D158</f>
        <v/>
      </c>
    </row>
    <row r="159" ht="15" customHeight="1" s="95">
      <c r="A159" s="114" t="inlineStr">
        <is>
          <t>바닥재</t>
        </is>
      </c>
      <c r="B159" s="111">
        <f>IFERROR((INDEX(자재마스터!$F:$F, MATCH("flooring|고급",자재마스터!$Z:$Z,0)) &amp; " " &amp; INDEX(자재마스터!$G:$G, MATCH("flooring|고급",자재마스터!$Z:$Z,0)))&amp;" ("&amp;INDEX(자재마스터!$J:$J,MATCH("flooring|고급",자재마스터!$Z:$Z,0))&amp;")","매칭없음")</f>
        <v/>
      </c>
      <c r="C159" s="162">
        <f>IFERROR(INDEX(자재마스터!$M:$M,MATCH("flooring|고급",자재마스터!$Z:$Z,0)),0)</f>
        <v/>
      </c>
      <c r="D159" s="177">
        <f>B19</f>
        <v/>
      </c>
      <c r="E159" s="159">
        <f>C159*D159</f>
        <v/>
      </c>
    </row>
    <row r="160" ht="15" customHeight="1" s="95">
      <c r="A160" s="114" t="inlineStr">
        <is>
          <t>도배</t>
        </is>
      </c>
      <c r="B160" s="111">
        <f>IFERROR((INDEX(자재마스터!$F:$F, MATCH("wallpaper|고급",자재마스터!$Z:$Z,0)) &amp; " " &amp; INDEX(자재마스터!$G:$G, MATCH("wallpaper|고급",자재마스터!$Z:$Z,0)))&amp;" ("&amp;INDEX(자재마스터!$J:$J,MATCH("wallpaper|고급",자재마스터!$Z:$Z,0))&amp;")","매칭없음")</f>
        <v/>
      </c>
      <c r="C160" s="162">
        <f>IFERROR(INDEX(자재마스터!$M:$M,MATCH("wallpaper|고급",자재마스터!$Z:$Z,0)),0)</f>
        <v/>
      </c>
      <c r="D160" s="177">
        <f>B20</f>
        <v/>
      </c>
      <c r="E160" s="159">
        <f>C160*D160</f>
        <v/>
      </c>
    </row>
    <row r="161" ht="15" customHeight="1" s="95">
      <c r="A161" s="114" t="inlineStr">
        <is>
          <t>몰딩</t>
        </is>
      </c>
      <c r="B161" s="111">
        <f>IFERROR((INDEX(자재마스터!$F:$F, MATCH("molding|고급",자재마스터!$Z:$Z,0)) &amp; " " &amp; INDEX(자재마스터!$G:$G, MATCH("molding|고급",자재마스터!$Z:$Z,0)))&amp;" ("&amp;INDEX(자재마스터!$J:$J,MATCH("molding|고급",자재마스터!$Z:$Z,0))&amp;")","매칭없음")</f>
        <v/>
      </c>
      <c r="C161" s="162">
        <f>IFERROR(INDEX(자재마스터!$M:$M,MATCH("molding|고급",자재마스터!$Z:$Z,0)),0)</f>
        <v/>
      </c>
      <c r="D161" s="177">
        <f>B18</f>
        <v/>
      </c>
      <c r="E161" s="159">
        <f>C161*D161</f>
        <v/>
      </c>
    </row>
    <row r="162" ht="15" customHeight="1" s="95">
      <c r="A162" s="114" t="inlineStr">
        <is>
          <t>걸레받이</t>
        </is>
      </c>
      <c r="B162" s="111">
        <f>IFERROR((INDEX(자재마스터!$F:$F, MATCH("baseboard|고급",자재마스터!$Z:$Z,0)) &amp; " " &amp; INDEX(자재마스터!$G:$G, MATCH("baseboard|고급",자재마스터!$Z:$Z,0)))&amp;" ("&amp;INDEX(자재마스터!$J:$J,MATCH("baseboard|고급",자재마스터!$Z:$Z,0))&amp;")","매칭없음")</f>
        <v/>
      </c>
      <c r="C162" s="162">
        <f>IFERROR(INDEX(자재마스터!$M:$M,MATCH("baseboard|고급",자재마스터!$Z:$Z,0)),0)</f>
        <v/>
      </c>
      <c r="D162" s="177">
        <f>B9</f>
        <v/>
      </c>
      <c r="E162" s="159">
        <f>C162*D162</f>
        <v/>
      </c>
    </row>
    <row r="163" ht="15" customHeight="1" s="95">
      <c r="A163" s="114" t="inlineStr">
        <is>
          <t>욕실 - 젠다이</t>
        </is>
      </c>
      <c r="B163" s="111">
        <f>IFERROR((INDEX(자재마스터!$F:$F, MATCH("bath_jendai|고급",자재마스터!$Z:$Z,0)) &amp; " " &amp; INDEX(자재마스터!$G:$G, MATCH("bath_jendai|고급",자재마스터!$Z:$Z,0)))&amp;" ("&amp;INDEX(자재마스터!$J:$J,MATCH("bath_jendai|고급",자재마스터!$Z:$Z,0))&amp;")","매칭없음")</f>
        <v/>
      </c>
      <c r="C163" s="162">
        <f>IFERROR(INDEX(자재마스터!$M:$M,MATCH("bath_jendai|고급",자재마스터!$Z:$Z,0)),0)</f>
        <v/>
      </c>
      <c r="D163" s="177">
        <f>2</f>
        <v/>
      </c>
      <c r="E163" s="159">
        <f>C163*D163</f>
        <v/>
      </c>
    </row>
    <row r="164" ht="15" customHeight="1" s="95">
      <c r="A164" s="114" t="inlineStr">
        <is>
          <t>욕실 - 방수</t>
        </is>
      </c>
      <c r="B164" s="111">
        <f>IFERROR((INDEX(자재마스터!$F:$F, MATCH("bath_waterproof|고급",자재마스터!$Z:$Z,0)) &amp; " " &amp; INDEX(자재마스터!$G:$G, MATCH("bath_waterproof|고급",자재마스터!$Z:$Z,0)))&amp;" ("&amp;INDEX(자재마스터!$J:$J,MATCH("bath_waterproof|고급",자재마스터!$Z:$Z,0))&amp;")","매칭없음")</f>
        <v/>
      </c>
      <c r="C164" s="162">
        <f>IFERROR(INDEX(자재마스터!$M:$M,MATCH("bath_waterproof|고급",자재마스터!$Z:$Z,0)),0)</f>
        <v/>
      </c>
      <c r="D164" s="177">
        <f>B21</f>
        <v/>
      </c>
      <c r="E164" s="159">
        <f>C164*D164</f>
        <v/>
      </c>
    </row>
    <row r="165" ht="15" customHeight="1" s="95">
      <c r="A165" s="114" t="inlineStr">
        <is>
          <t>욕실 - 타일자재 (벽+바닥)</t>
        </is>
      </c>
      <c r="B165" s="111">
        <f>IFERROR((INDEX(자재마스터!$F:$F, MATCH("bath_tile|고급",자재마스터!$Z:$Z,0)) &amp; " " &amp; INDEX(자재마스터!$G:$G, MATCH("bath_tile|고급",자재마스터!$Z:$Z,0)))&amp;" ("&amp;INDEX(자재마스터!$J:$J,MATCH("bath_tile|고급",자재마스터!$Z:$Z,0))&amp;")","매칭없음")</f>
        <v/>
      </c>
      <c r="C165" s="162">
        <f>IFERROR(INDEX(자재마스터!$M:$M,MATCH("bath_tile|고급",자재마스터!$Z:$Z,0)),0)</f>
        <v/>
      </c>
      <c r="D165" s="177">
        <f>B21*2</f>
        <v/>
      </c>
      <c r="E165" s="159">
        <f>C165*D165</f>
        <v/>
      </c>
    </row>
    <row r="166" ht="15" customHeight="1" s="95">
      <c r="A166" s="114" t="inlineStr">
        <is>
          <t>욕실 - 타일시공</t>
        </is>
      </c>
      <c r="B166" s="111">
        <f>IFERROR((INDEX(자재마스터!$F:$F, MATCH("bath_tile_method|고급",자재마스터!$Z:$Z,0)) &amp; " " &amp; INDEX(자재마스터!$G:$G, MATCH("bath_tile_method|고급",자재마스터!$Z:$Z,0)))&amp;" ("&amp;INDEX(자재마스터!$J:$J,MATCH("bath_tile_method|고급",자재마스터!$Z:$Z,0))&amp;")","매칭없음")</f>
        <v/>
      </c>
      <c r="C166" s="162">
        <f>IFERROR(INDEX(자재마스터!$M:$M,MATCH("bath_tile_method|고급",자재마스터!$Z:$Z,0)),0)</f>
        <v/>
      </c>
      <c r="D166" s="177">
        <f>B22</f>
        <v/>
      </c>
      <c r="E166" s="159">
        <f>C166*D166</f>
        <v/>
      </c>
    </row>
    <row r="167" ht="15" customHeight="1" s="95">
      <c r="A167" s="114" t="inlineStr">
        <is>
          <t>욕실 - 파티션 (부부)</t>
        </is>
      </c>
      <c r="B167" s="111">
        <f>IFERROR((INDEX(자재마스터!$F:$F, MATCH("bath_partition|고급",자재마스터!$Z:$Z,0)) &amp; " " &amp; INDEX(자재마스터!$G:$G, MATCH("bath_partition|고급",자재마스터!$Z:$Z,0)))&amp;" ("&amp;INDEX(자재마스터!$J:$J,MATCH("bath_partition|고급",자재마스터!$Z:$Z,0))&amp;")","매칭없음")</f>
        <v/>
      </c>
      <c r="C167" s="162">
        <f>IFERROR(INDEX(자재마스터!$M:$M,MATCH("bath_partition|고급",자재마스터!$Z:$Z,0)),0)</f>
        <v/>
      </c>
      <c r="D167" s="177">
        <f>1</f>
        <v/>
      </c>
      <c r="E167" s="159">
        <f>C167*D167</f>
        <v/>
      </c>
    </row>
    <row r="168" ht="15" customHeight="1" s="95">
      <c r="A168" s="114" t="inlineStr">
        <is>
          <t>욕실 - 천정</t>
        </is>
      </c>
      <c r="B168" s="111">
        <f>IFERROR((INDEX(자재마스터!$F:$F, MATCH("bath_ceiling|고급",자재마스터!$Z:$Z,0)) &amp; " " &amp; INDEX(자재마스터!$G:$G, MATCH("bath_ceiling|고급",자재마스터!$Z:$Z,0)))&amp;" ("&amp;INDEX(자재마스터!$J:$J,MATCH("bath_ceiling|고급",자재마스터!$Z:$Z,0))&amp;")","매칭없음")</f>
        <v/>
      </c>
      <c r="C168" s="162">
        <f>IFERROR(INDEX(자재마스터!$M:$M,MATCH("bath_ceiling|고급",자재마스터!$Z:$Z,0)),0)</f>
        <v/>
      </c>
      <c r="D168" s="177">
        <f>B21</f>
        <v/>
      </c>
      <c r="E168" s="159">
        <f>C168*D168</f>
        <v/>
      </c>
    </row>
    <row r="169" ht="15" customHeight="1" s="95">
      <c r="A169" s="114" t="inlineStr">
        <is>
          <t>욕실 - 세면대</t>
        </is>
      </c>
      <c r="B169" s="111">
        <f>IFERROR((INDEX(자재마스터!$F:$F, MATCH("bath_basin|고급",자재마스터!$Z:$Z,0)) &amp; " " &amp; INDEX(자재마스터!$G:$G, MATCH("bath_basin|고급",자재마스터!$Z:$Z,0)))&amp;" ("&amp;INDEX(자재마스터!$J:$J,MATCH("bath_basin|고급",자재마스터!$Z:$Z,0))&amp;")","매칭없음")</f>
        <v/>
      </c>
      <c r="C169" s="162">
        <f>IFERROR(INDEX(자재마스터!$M:$M,MATCH("bath_basin|고급",자재마스터!$Z:$Z,0)),0)</f>
        <v/>
      </c>
      <c r="D169" s="177">
        <f>2</f>
        <v/>
      </c>
      <c r="E169" s="159">
        <f>C169*D169</f>
        <v/>
      </c>
    </row>
    <row r="170" ht="15" customHeight="1" s="95">
      <c r="A170" s="114" t="inlineStr">
        <is>
          <t>욕실 - 수전</t>
        </is>
      </c>
      <c r="B170" s="111">
        <f>IFERROR((INDEX(자재마스터!$F:$F, MATCH("bath_faucet|고급",자재마스터!$Z:$Z,0)) &amp; " " &amp; INDEX(자재마스터!$G:$G, MATCH("bath_faucet|고급",자재마스터!$Z:$Z,0)))&amp;" ("&amp;INDEX(자재마스터!$J:$J,MATCH("bath_faucet|고급",자재마스터!$Z:$Z,0))&amp;")","매칭없음")</f>
        <v/>
      </c>
      <c r="C170" s="162">
        <f>IFERROR(INDEX(자재마스터!$M:$M,MATCH("bath_faucet|고급",자재마스터!$Z:$Z,0)),0)</f>
        <v/>
      </c>
      <c r="D170" s="177">
        <f>2</f>
        <v/>
      </c>
      <c r="E170" s="159">
        <f>C170*D170</f>
        <v/>
      </c>
    </row>
    <row r="171" ht="15" customHeight="1" s="95">
      <c r="A171" s="114" t="inlineStr">
        <is>
          <t>욕실 - 양변기</t>
        </is>
      </c>
      <c r="B171" s="111">
        <f>IFERROR((INDEX(자재마스터!$F:$F, MATCH("bath_toilet|고급",자재마스터!$Z:$Z,0)) &amp; " " &amp; INDEX(자재마스터!$G:$G, MATCH("bath_toilet|고급",자재마스터!$Z:$Z,0)))&amp;" ("&amp;INDEX(자재마스터!$J:$J,MATCH("bath_toilet|고급",자재마스터!$Z:$Z,0))&amp;")","매칭없음")</f>
        <v/>
      </c>
      <c r="C171" s="162">
        <f>IFERROR(INDEX(자재마스터!$M:$M,MATCH("bath_toilet|고급",자재마스터!$Z:$Z,0)),0)</f>
        <v/>
      </c>
      <c r="D171" s="177">
        <f>2</f>
        <v/>
      </c>
      <c r="E171" s="159">
        <f>C171*D171</f>
        <v/>
      </c>
    </row>
    <row r="172" ht="15" customHeight="1" s="95">
      <c r="A172" s="114" t="inlineStr">
        <is>
          <t>욕실 - 악세사리</t>
        </is>
      </c>
      <c r="B172" s="111">
        <f>IFERROR((INDEX(자재마스터!$F:$F, MATCH("bath_accessory|고급",자재마스터!$Z:$Z,0)) &amp; " " &amp; INDEX(자재마스터!$G:$G, MATCH("bath_accessory|고급",자재마스터!$Z:$Z,0)))&amp;" ("&amp;INDEX(자재마스터!$J:$J,MATCH("bath_accessory|고급",자재마스터!$Z:$Z,0))&amp;")","매칭없음")</f>
        <v/>
      </c>
      <c r="C172" s="162">
        <f>IFERROR(INDEX(자재마스터!$M:$M,MATCH("bath_accessory|고급",자재마스터!$Z:$Z,0)),0)</f>
        <v/>
      </c>
      <c r="D172" s="177">
        <f>2</f>
        <v/>
      </c>
      <c r="E172" s="159">
        <f>C172*D172</f>
        <v/>
      </c>
    </row>
    <row r="173" ht="15" customHeight="1" s="95">
      <c r="A173" s="114" t="inlineStr">
        <is>
          <t>욕실 - 줄눈</t>
        </is>
      </c>
      <c r="B173" s="111">
        <f>IFERROR((INDEX(자재마스터!$F:$F, MATCH("bath_grout|고급",자재마스터!$Z:$Z,0)) &amp; " " &amp; INDEX(자재마스터!$G:$G, MATCH("bath_grout|고급",자재마스터!$Z:$Z,0)))&amp;" ("&amp;INDEX(자재마스터!$J:$J,MATCH("bath_grout|고급",자재마스터!$Z:$Z,0))&amp;")","매칭없음")</f>
        <v/>
      </c>
      <c r="C173" s="162">
        <f>IFERROR(INDEX(자재마스터!$M:$M,MATCH("bath_grout|고급",자재마스터!$Z:$Z,0)),0)</f>
        <v/>
      </c>
      <c r="D173" s="177">
        <f>B21</f>
        <v/>
      </c>
      <c r="E173" s="159">
        <f>C173*D173</f>
        <v/>
      </c>
    </row>
    <row r="174" ht="15" customHeight="1" s="95">
      <c r="A174" s="114" t="inlineStr">
        <is>
          <t>욕실 설치비</t>
        </is>
      </c>
      <c r="B174" s="111">
        <f>IFERROR((INDEX(자재마스터!$F:$F, MATCH("bath_install|고급",자재마스터!$Z:$Z,0)) &amp; " " &amp; INDEX(자재마스터!$G:$G, MATCH("bath_install|고급",자재마스터!$Z:$Z,0)))&amp;" ("&amp;INDEX(자재마스터!$J:$J,MATCH("bath_install|고급",자재마스터!$Z:$Z,0))&amp;")","매칭없음")</f>
        <v/>
      </c>
      <c r="C174" s="162">
        <f>IFERROR(INDEX(자재마스터!$M:$M,MATCH("bath_install|고급",자재마스터!$Z:$Z,0)),0)</f>
        <v/>
      </c>
      <c r="D174" s="177">
        <f>2</f>
        <v/>
      </c>
      <c r="E174" s="159">
        <f>C174*D174</f>
        <v/>
      </c>
    </row>
    <row r="175" ht="15" customHeight="1" s="95">
      <c r="A175" s="114" t="inlineStr">
        <is>
          <t>타일 시공팀</t>
        </is>
      </c>
      <c r="B175" s="111">
        <f>IFERROR((INDEX(자재마스터!$F:$F, MATCH("tile_labor|고급",자재마스터!$Z:$Z,0)) &amp; " " &amp; INDEX(자재마스터!$G:$G, MATCH("tile_labor|고급",자재마스터!$Z:$Z,0)))&amp;" ("&amp;INDEX(자재마스터!$J:$J,MATCH("tile_labor|고급",자재마스터!$Z:$Z,0))&amp;")","매칭없음")</f>
        <v/>
      </c>
      <c r="C175" s="162">
        <f>IFERROR(INDEX(자재마스터!$M:$M,MATCH("tile_labor|고급",자재마스터!$Z:$Z,0)),0)</f>
        <v/>
      </c>
      <c r="D175" s="177">
        <f>B33</f>
        <v/>
      </c>
      <c r="E175" s="159">
        <f>C175*D175</f>
        <v/>
      </c>
    </row>
    <row r="176" ht="15" customHeight="1" s="95">
      <c r="A176" s="114" t="inlineStr">
        <is>
          <t>주방 - 몸체</t>
        </is>
      </c>
      <c r="B176" s="111">
        <f>IFERROR((INDEX(자재마스터!$F:$F, MATCH("kitchen_body|고급",자재마스터!$Z:$Z,0)) &amp; " " &amp; INDEX(자재마스터!$G:$G, MATCH("kitchen_body|고급",자재마스터!$Z:$Z,0)))&amp;" ("&amp;INDEX(자재마스터!$J:$J,MATCH("kitchen_body|고급",자재마스터!$Z:$Z,0))&amp;")","매칭없음")</f>
        <v/>
      </c>
      <c r="C176" s="162">
        <f>IFERROR(INDEX(자재마스터!$M:$M,MATCH("kitchen_body|고급",자재마스터!$Z:$Z,0)),0)</f>
        <v/>
      </c>
      <c r="D176" s="177">
        <f>3.6</f>
        <v/>
      </c>
      <c r="E176" s="159">
        <f>C176*D176</f>
        <v/>
      </c>
    </row>
    <row r="177" ht="15" customHeight="1" s="95">
      <c r="A177" s="114" t="inlineStr">
        <is>
          <t>주방 - 미드웨이</t>
        </is>
      </c>
      <c r="B177" s="111">
        <f>IFERROR((INDEX(자재마스터!$F:$F, MATCH("kitchen_midway|고급",자재마스터!$Z:$Z,0)) &amp; " " &amp; INDEX(자재마스터!$G:$G, MATCH("kitchen_midway|고급",자재마스터!$Z:$Z,0)))&amp;" ("&amp;INDEX(자재마스터!$J:$J,MATCH("kitchen_midway|고급",자재마스터!$Z:$Z,0))&amp;")","매칭없음")</f>
        <v/>
      </c>
      <c r="C177" s="162">
        <f>IFERROR(INDEX(자재마스터!$M:$M,MATCH("kitchen_midway|고급",자재마스터!$Z:$Z,0)),0)</f>
        <v/>
      </c>
      <c r="D177" s="177">
        <f>3.6</f>
        <v/>
      </c>
      <c r="E177" s="159">
        <f>C177*D177</f>
        <v/>
      </c>
    </row>
    <row r="178" ht="15" customHeight="1" s="95">
      <c r="A178" s="114" t="inlineStr">
        <is>
          <t>주방 - 도어</t>
        </is>
      </c>
      <c r="B178" s="111">
        <f>IFERROR((INDEX(자재마스터!$F:$F, MATCH("kitchen_door|고급",자재마스터!$Z:$Z,0)) &amp; " " &amp; INDEX(자재마스터!$G:$G, MATCH("kitchen_door|고급",자재마스터!$Z:$Z,0)))&amp;" ("&amp;INDEX(자재마스터!$J:$J,MATCH("kitchen_door|고급",자재마스터!$Z:$Z,0))&amp;")","매칭없음")</f>
        <v/>
      </c>
      <c r="C178" s="162">
        <f>IFERROR(INDEX(자재마스터!$M:$M,MATCH("kitchen_door|고급",자재마스터!$Z:$Z,0)),0)</f>
        <v/>
      </c>
      <c r="D178" s="177">
        <f>3.6</f>
        <v/>
      </c>
      <c r="E178" s="159">
        <f>C178*D178</f>
        <v/>
      </c>
    </row>
    <row r="179" ht="15" customHeight="1" s="95">
      <c r="A179" s="114" t="inlineStr">
        <is>
          <t>주방 - 상판</t>
        </is>
      </c>
      <c r="B179" s="111">
        <f>IFERROR((INDEX(자재마스터!$F:$F, MATCH("kitchen_top|고급",자재마스터!$Z:$Z,0)) &amp; " " &amp; INDEX(자재마스터!$G:$G, MATCH("kitchen_top|고급",자재마스터!$Z:$Z,0)))&amp;" ("&amp;INDEX(자재마스터!$J:$J,MATCH("kitchen_top|고급",자재마스터!$Z:$Z,0))&amp;")","매칭없음")</f>
        <v/>
      </c>
      <c r="C179" s="162">
        <f>IFERROR(INDEX(자재마스터!$M:$M,MATCH("kitchen_top|고급",자재마스터!$Z:$Z,0)),0)</f>
        <v/>
      </c>
      <c r="D179" s="177">
        <f>3.6</f>
        <v/>
      </c>
      <c r="E179" s="159">
        <f>C179*D179</f>
        <v/>
      </c>
    </row>
    <row r="180" ht="15" customHeight="1" s="95">
      <c r="A180" s="114" t="inlineStr">
        <is>
          <t>주방 - 하드웨어</t>
        </is>
      </c>
      <c r="B180" s="111">
        <f>IFERROR((INDEX(자재마스터!$F:$F, MATCH("kitchen_hardware|고급",자재마스터!$Z:$Z,0)) &amp; " " &amp; INDEX(자재마스터!$G:$G, MATCH("kitchen_hardware|고급",자재마스터!$Z:$Z,0)))&amp;" ("&amp;INDEX(자재마스터!$J:$J,MATCH("kitchen_hardware|고급",자재마스터!$Z:$Z,0))&amp;")","매칭없음")</f>
        <v/>
      </c>
      <c r="C180" s="162">
        <f>IFERROR(INDEX(자재마스터!$M:$M,MATCH("kitchen_hardware|고급",자재마스터!$Z:$Z,0)),0)</f>
        <v/>
      </c>
      <c r="D180" s="177">
        <f>ROUND(3.6*4.5,0)</f>
        <v/>
      </c>
      <c r="E180" s="159">
        <f>C180*D180</f>
        <v/>
      </c>
    </row>
    <row r="181" ht="15" customHeight="1" s="95">
      <c r="A181" s="114" t="inlineStr">
        <is>
          <t>주방 - 후드</t>
        </is>
      </c>
      <c r="B181" s="111">
        <f>IFERROR((INDEX(자재마스터!$F:$F, MATCH("kitchen_hood|고급",자재마스터!$Z:$Z,0)) &amp; " " &amp; INDEX(자재마스터!$G:$G, MATCH("kitchen_hood|고급",자재마스터!$Z:$Z,0)))&amp;" ("&amp;INDEX(자재마스터!$J:$J,MATCH("kitchen_hood|고급",자재마스터!$Z:$Z,0))&amp;")","매칭없음")</f>
        <v/>
      </c>
      <c r="C181" s="162">
        <f>IFERROR(INDEX(자재마스터!$M:$M,MATCH("kitchen_hood|고급",자재마스터!$Z:$Z,0)),0)</f>
        <v/>
      </c>
      <c r="D181" s="177">
        <f>1</f>
        <v/>
      </c>
      <c r="E181" s="159">
        <f>C181*D181</f>
        <v/>
      </c>
    </row>
    <row r="182" ht="15" customHeight="1" s="95">
      <c r="A182" s="114" t="inlineStr">
        <is>
          <t>주방 - 싱크볼</t>
        </is>
      </c>
      <c r="B182" s="111">
        <f>IFERROR((INDEX(자재마스터!$F:$F, MATCH("kitchen_sink|고급",자재마스터!$Z:$Z,0)) &amp; " " &amp; INDEX(자재마스터!$G:$G, MATCH("kitchen_sink|고급",자재마스터!$Z:$Z,0)))&amp;" ("&amp;INDEX(자재마스터!$J:$J,MATCH("kitchen_sink|고급",자재마스터!$Z:$Z,0))&amp;")","매칭없음")</f>
        <v/>
      </c>
      <c r="C182" s="162">
        <f>IFERROR(INDEX(자재마스터!$M:$M,MATCH("kitchen_sink|고급",자재마스터!$Z:$Z,0)),0)</f>
        <v/>
      </c>
      <c r="D182" s="177">
        <f>1</f>
        <v/>
      </c>
      <c r="E182" s="159">
        <f>C182*D182</f>
        <v/>
      </c>
    </row>
    <row r="183" ht="15" customHeight="1" s="95">
      <c r="A183" s="114" t="inlineStr">
        <is>
          <t>중문 (3연동)</t>
        </is>
      </c>
      <c r="B183" s="111">
        <f>IFERROR((INDEX(자재마스터!$F:$F, MATCH("sliding_door|고급",자재마스터!$Z:$Z,0)) &amp; " " &amp; INDEX(자재마스터!$G:$G, MATCH("sliding_door|고급",자재마스터!$Z:$Z,0)))&amp;" ("&amp;INDEX(자재마스터!$J:$J,MATCH("sliding_door|고급",자재마스터!$Z:$Z,0))&amp;")","매칭없음")</f>
        <v/>
      </c>
      <c r="C183" s="162">
        <f>IFERROR(INDEX(자재마스터!$M:$M,MATCH("sliding_door|고급",자재마스터!$Z:$Z,0)),0)</f>
        <v/>
      </c>
      <c r="D183" s="177">
        <f>1</f>
        <v/>
      </c>
      <c r="E183" s="159">
        <f>C183*D183</f>
        <v/>
      </c>
    </row>
    <row r="184" ht="15" customHeight="1" s="95">
      <c r="A184" s="114" t="inlineStr">
        <is>
          <t>일반가구 (현관)</t>
        </is>
      </c>
      <c r="B184" s="111">
        <f>IFERROR((INDEX(자재마스터!$F:$F, MATCH("general_furniture|고급",자재마스터!$Z:$Z,0)) &amp; " " &amp; INDEX(자재마스터!$G:$G, MATCH("general_furniture|고급",자재마스터!$Z:$Z,0)))&amp;" ("&amp;INDEX(자재마스터!$J:$J,MATCH("general_furniture|고급",자재마스터!$Z:$Z,0))&amp;")","매칭없음")</f>
        <v/>
      </c>
      <c r="C184" s="162">
        <f>IFERROR(INDEX(자재마스터!$M:$M,MATCH("general_furniture|고급",자재마스터!$Z:$Z,0)),0)</f>
        <v/>
      </c>
      <c r="D184" s="177">
        <f>1</f>
        <v/>
      </c>
      <c r="E184" s="159">
        <f>C184*D184</f>
        <v/>
      </c>
    </row>
    <row r="185" ht="15" customHeight="1" s="95">
      <c r="A185" s="114" t="inlineStr">
        <is>
          <t>붙박이장</t>
        </is>
      </c>
      <c r="B185" s="111">
        <f>IFERROR((INDEX(자재마스터!$F:$F, MATCH("closet|고급",자재마스터!$Z:$Z,0)) &amp; " " &amp; INDEX(자재마스터!$G:$G, MATCH("closet|고급",자재마스터!$Z:$Z,0)))&amp;" ("&amp;INDEX(자재마스터!$J:$J,MATCH("closet|고급",자재마스터!$Z:$Z,0))&amp;")","매칭없음")</f>
        <v/>
      </c>
      <c r="C185" s="162">
        <f>IFERROR(INDEX(자재마스터!$M:$M,MATCH("closet|고급",자재마스터!$Z:$Z,0)),0)</f>
        <v/>
      </c>
      <c r="D185" s="177">
        <f>B32</f>
        <v/>
      </c>
      <c r="E185" s="159">
        <f>C185*D185</f>
        <v/>
      </c>
    </row>
    <row r="186" ht="15" customHeight="1" s="95">
      <c r="A186" s="114" t="inlineStr">
        <is>
          <t>전기 기본공사</t>
        </is>
      </c>
      <c r="B186" s="111">
        <f>IFERROR((INDEX(자재마스터!$F:$F, MATCH("electrical_base|고급",자재마스터!$Z:$Z,0)) &amp; " " &amp; INDEX(자재마스터!$G:$G, MATCH("electrical_base|고급",자재마스터!$Z:$Z,0)))&amp;" ("&amp;INDEX(자재마스터!$J:$J,MATCH("electrical_base|고급",자재마스터!$Z:$Z,0))&amp;")","매칭없음")</f>
        <v/>
      </c>
      <c r="C186" s="162">
        <f>IFERROR(INDEX(자재마스터!$M:$M,MATCH("electrical_base|고급",자재마스터!$Z:$Z,0)),0)</f>
        <v/>
      </c>
      <c r="D186" s="177">
        <f>B9</f>
        <v/>
      </c>
      <c r="E186" s="159">
        <f>C186*D186</f>
        <v/>
      </c>
    </row>
    <row r="187" ht="15" customHeight="1" s="95">
      <c r="A187" s="114" t="inlineStr">
        <is>
          <t>스위치/콘센트</t>
        </is>
      </c>
      <c r="B187" s="111">
        <f>IFERROR((INDEX(자재마스터!$F:$F, MATCH("electrical_switch|고급",자재마스터!$Z:$Z,0)) &amp; " " &amp; INDEX(자재마스터!$G:$G, MATCH("electrical_switch|고급",자재마스터!$Z:$Z,0)))&amp;" ("&amp;INDEX(자재마스터!$J:$J,MATCH("electrical_switch|고급",자재마스터!$Z:$Z,0))&amp;")","매칭없음")</f>
        <v/>
      </c>
      <c r="C187" s="162">
        <f>IFERROR(INDEX(자재마스터!$M:$M,MATCH("electrical_switch|고급",자재마스터!$Z:$Z,0)),0)</f>
        <v/>
      </c>
      <c r="D187" s="177">
        <f>B31</f>
        <v/>
      </c>
      <c r="E187" s="159">
        <f>C187*D187</f>
        <v/>
      </c>
    </row>
    <row r="188" ht="15" customHeight="1" s="95">
      <c r="A188" s="114" t="inlineStr">
        <is>
          <t>인덕션 전용선</t>
        </is>
      </c>
      <c r="B188" s="111">
        <f>IFERROR((INDEX(자재마스터!$F:$F, MATCH("induction_line|고급",자재마스터!$Z:$Z,0)) &amp; " " &amp; INDEX(자재마스터!$G:$G, MATCH("induction_line|고급",자재마스터!$Z:$Z,0)))&amp;" ("&amp;INDEX(자재마스터!$J:$J,MATCH("induction_line|고급",자재마스터!$Z:$Z,0))&amp;")","매칭없음")</f>
        <v/>
      </c>
      <c r="C188" s="162">
        <f>IFERROR(INDEX(자재마스터!$M:$M,MATCH("induction_line|고급",자재마스터!$Z:$Z,0)),0)</f>
        <v/>
      </c>
      <c r="D188" s="177">
        <f>1</f>
        <v/>
      </c>
      <c r="E188" s="159">
        <f>C188*D188</f>
        <v/>
      </c>
    </row>
    <row r="189" ht="15" customHeight="1" s="95">
      <c r="A189" s="114" t="inlineStr">
        <is>
          <t>다운라이트</t>
        </is>
      </c>
      <c r="B189" s="111">
        <f>IFERROR((INDEX(자재마스터!$F:$F, MATCH("lighting_downlight|고급",자재마스터!$Z:$Z,0)) &amp; " " &amp; INDEX(자재마스터!$G:$G, MATCH("lighting_downlight|고급",자재마스터!$Z:$Z,0)))&amp;" ("&amp;INDEX(자재마스터!$J:$J,MATCH("lighting_downlight|고급",자재마스터!$Z:$Z,0))&amp;")","매칭없음")</f>
        <v/>
      </c>
      <c r="C189" s="162">
        <f>IFERROR(INDEX(자재마스터!$M:$M,MATCH("lighting_downlight|고급",자재마스터!$Z:$Z,0)),0)</f>
        <v/>
      </c>
      <c r="D189" s="177">
        <f>B34</f>
        <v/>
      </c>
      <c r="E189" s="159">
        <f>C189*D189</f>
        <v/>
      </c>
    </row>
    <row r="190" ht="15" customHeight="1" s="95">
      <c r="A190" s="114" t="inlineStr">
        <is>
          <t>거실 간접조명</t>
        </is>
      </c>
      <c r="B190" s="111">
        <f>IFERROR((INDEX(자재마스터!$F:$F, MATCH("lighting_indirect_living|고급",자재마스터!$Z:$Z,0)) &amp; " " &amp; INDEX(자재마스터!$G:$G, MATCH("lighting_indirect_living|고급",자재마스터!$Z:$Z,0)))&amp;" ("&amp;INDEX(자재마스터!$J:$J,MATCH("lighting_indirect_living|고급",자재마스터!$Z:$Z,0))&amp;")","매칭없음")</f>
        <v/>
      </c>
      <c r="C190" s="162">
        <f>IFERROR(INDEX(자재마스터!$M:$M,MATCH("lighting_indirect_living|고급",자재마스터!$Z:$Z,0)),0)</f>
        <v/>
      </c>
      <c r="D190" s="177">
        <f>1</f>
        <v/>
      </c>
      <c r="E190" s="159">
        <f>C190*D190</f>
        <v/>
      </c>
    </row>
    <row r="191" ht="15" customHeight="1" s="95">
      <c r="A191" s="114" t="inlineStr">
        <is>
          <t>욕실 간접조명</t>
        </is>
      </c>
      <c r="B191" s="111">
        <f>IFERROR((INDEX(자재마스터!$F:$F, MATCH("lighting_indirect_bath|고급",자재마스터!$Z:$Z,0)) &amp; " " &amp; INDEX(자재마스터!$G:$G, MATCH("lighting_indirect_bath|고급",자재마스터!$Z:$Z,0)))&amp;" ("&amp;INDEX(자재마스터!$J:$J,MATCH("lighting_indirect_bath|고급",자재마스터!$Z:$Z,0))&amp;")","매칭없음")</f>
        <v/>
      </c>
      <c r="C191" s="162">
        <f>IFERROR(INDEX(자재마스터!$M:$M,MATCH("lighting_indirect_bath|고급",자재마스터!$Z:$Z,0)),0)</f>
        <v/>
      </c>
      <c r="D191" s="177">
        <f>2</f>
        <v/>
      </c>
      <c r="E191" s="159">
        <f>C191*D191</f>
        <v/>
      </c>
    </row>
    <row r="192" ht="15" customHeight="1" s="95">
      <c r="A192" s="114" t="inlineStr">
        <is>
          <t>거실 마그네틱 라인</t>
        </is>
      </c>
      <c r="B192" s="111">
        <f>IFERROR((INDEX(자재마스터!$F:$F, MATCH("lighting_magnetic_living|고급",자재마스터!$Z:$Z,0)) &amp; " " &amp; INDEX(자재마스터!$G:$G, MATCH("lighting_magnetic_living|고급",자재마스터!$Z:$Z,0)))&amp;" ("&amp;INDEX(자재마스터!$J:$J,MATCH("lighting_magnetic_living|고급",자재마스터!$Z:$Z,0))&amp;")","매칭없음")</f>
        <v/>
      </c>
      <c r="C192" s="162">
        <f>IFERROR(INDEX(자재마스터!$M:$M,MATCH("lighting_magnetic_living|고급",자재마스터!$Z:$Z,0)),0)</f>
        <v/>
      </c>
      <c r="D192" s="177">
        <f>1</f>
        <v/>
      </c>
      <c r="E192" s="159">
        <f>C192*D192</f>
        <v/>
      </c>
    </row>
    <row r="193" ht="15" customHeight="1" s="95">
      <c r="A193" s="114" t="inlineStr">
        <is>
          <t>주방 마그네틱 라인</t>
        </is>
      </c>
      <c r="B193" s="111">
        <f>IFERROR((INDEX(자재마스터!$F:$F, MATCH("lighting_magnetic_kitchen|고급",자재마스터!$Z:$Z,0)) &amp; " " &amp; INDEX(자재마스터!$G:$G, MATCH("lighting_magnetic_kitchen|고급",자재마스터!$Z:$Z,0)))&amp;" ("&amp;INDEX(자재마스터!$J:$J,MATCH("lighting_magnetic_kitchen|고급",자재마스터!$Z:$Z,0))&amp;")","매칭없음")</f>
        <v/>
      </c>
      <c r="C193" s="162">
        <f>IFERROR(INDEX(자재마스터!$M:$M,MATCH("lighting_magnetic_kitchen|고급",자재마스터!$Z:$Z,0)),0)</f>
        <v/>
      </c>
      <c r="D193" s="177">
        <f>1</f>
        <v/>
      </c>
      <c r="E193" s="159">
        <f>C193*D193</f>
        <v/>
      </c>
    </row>
    <row r="194" ht="15" customHeight="1" s="95">
      <c r="A194" s="114" t="inlineStr">
        <is>
          <t>설비 기본공사</t>
        </is>
      </c>
      <c r="B194" s="111">
        <f>IFERROR((INDEX(자재마스터!$F:$F, MATCH("plumbing_base|고급",자재마스터!$Z:$Z,0)) &amp; " " &amp; INDEX(자재마스터!$G:$G, MATCH("plumbing_base|고급",자재마스터!$Z:$Z,0)))&amp;" ("&amp;INDEX(자재마스터!$J:$J,MATCH("plumbing_base|고급",자재마스터!$Z:$Z,0))&amp;")","매칭없음")</f>
        <v/>
      </c>
      <c r="C194" s="162">
        <f>IFERROR(INDEX(자재마스터!$M:$M,MATCH("plumbing_base|고급",자재마스터!$Z:$Z,0)),0)</f>
        <v/>
      </c>
      <c r="D194" s="177">
        <f>B9</f>
        <v/>
      </c>
      <c r="E194" s="159">
        <f>C194*D194</f>
        <v/>
      </c>
    </row>
    <row r="195" ht="15" customHeight="1" s="95">
      <c r="A195" s="114" t="inlineStr">
        <is>
          <t>분배기 교체</t>
        </is>
      </c>
      <c r="B195" s="111">
        <f>IFERROR((INDEX(자재마스터!$F:$F, MATCH("distribution_panel|고급",자재마스터!$Z:$Z,0)) &amp; " " &amp; INDEX(자재마스터!$G:$G, MATCH("distribution_panel|고급",자재마스터!$Z:$Z,0)))&amp;" ("&amp;INDEX(자재마스터!$J:$J,MATCH("distribution_panel|고급",자재마스터!$Z:$Z,0))&amp;")","매칭없음")</f>
        <v/>
      </c>
      <c r="C195" s="162">
        <f>IFERROR(INDEX(자재마스터!$M:$M,MATCH("distribution_panel|고급",자재마스터!$Z:$Z,0)),0)</f>
        <v/>
      </c>
      <c r="D195" s="177">
        <f>1</f>
        <v/>
      </c>
      <c r="E195" s="159">
        <f>C195*D195</f>
        <v/>
      </c>
    </row>
    <row r="196" ht="15" customHeight="1" s="95">
      <c r="A196" s="114" t="inlineStr">
        <is>
          <t>배관 변경</t>
        </is>
      </c>
      <c r="B196" s="111">
        <f>IFERROR((INDEX(자재마스터!$F:$F, MATCH("plumbing_relocation|고급",자재마스터!$Z:$Z,0)) &amp; " " &amp; INDEX(자재마스터!$G:$G, MATCH("plumbing_relocation|고급",자재마스터!$Z:$Z,0)))&amp;" ("&amp;INDEX(자재마스터!$J:$J,MATCH("plumbing_relocation|고급",자재마스터!$Z:$Z,0))&amp;")","매칭없음")</f>
        <v/>
      </c>
      <c r="C196" s="162">
        <f>IFERROR(INDEX(자재마스터!$M:$M,MATCH("plumbing_relocation|고급",자재마스터!$Z:$Z,0)),0)</f>
        <v/>
      </c>
      <c r="D196" s="177">
        <f>1</f>
        <v/>
      </c>
      <c r="E196" s="159">
        <f>C196*D196</f>
        <v/>
      </c>
    </row>
    <row r="197" ht="15" customHeight="1" s="95">
      <c r="A197" s="114" t="inlineStr">
        <is>
          <t>난방온도조절기</t>
        </is>
      </c>
      <c r="B197" s="111">
        <f>IFERROR((INDEX(자재마스터!$F:$F, MATCH("thermostat|고급",자재마스터!$Z:$Z,0)) &amp; " " &amp; INDEX(자재마스터!$G:$G, MATCH("thermostat|고급",자재마스터!$Z:$Z,0)))&amp;" ("&amp;INDEX(자재마스터!$J:$J,MATCH("thermostat|고급",자재마스터!$Z:$Z,0))&amp;")","매칭없음")</f>
        <v/>
      </c>
      <c r="C197" s="162">
        <f>IFERROR(INDEX(자재마스터!$M:$M,MATCH("thermostat|고급",자재마스터!$Z:$Z,0)),0)</f>
        <v/>
      </c>
      <c r="D197" s="177">
        <f>B35</f>
        <v/>
      </c>
      <c r="E197" s="159">
        <f>C197*D197</f>
        <v/>
      </c>
    </row>
    <row r="198" ht="15" customHeight="1" s="95">
      <c r="A198" s="114" t="inlineStr">
        <is>
          <t>시스템에어컨</t>
        </is>
      </c>
      <c r="B198" s="111">
        <f>IFERROR((INDEX(자재마스터!$F:$F, MATCH("aircon|고급",자재마스터!$Z:$Z,0)) &amp; " " &amp; INDEX(자재마스터!$G:$G, MATCH("aircon|고급",자재마스터!$Z:$Z,0)))&amp;" ("&amp;INDEX(자재마스터!$J:$J,MATCH("aircon|고급",자재마스터!$Z:$Z,0))&amp;")","매칭없음")</f>
        <v/>
      </c>
      <c r="C198" s="162">
        <f>IFERROR(INDEX(자재마스터!$M:$M,MATCH("aircon|고급",자재마스터!$Z:$Z,0)),0)</f>
        <v/>
      </c>
      <c r="D198" s="177">
        <f>3</f>
        <v/>
      </c>
      <c r="E198" s="159">
        <f>C198*D198</f>
        <v/>
      </c>
    </row>
    <row r="199" ht="15" customHeight="1" s="95">
      <c r="A199" s="114" t="inlineStr">
        <is>
          <t>에어컨 실외기</t>
        </is>
      </c>
      <c r="B199" s="111">
        <f>IFERROR((INDEX(자재마스터!$F:$F, MATCH("aircon_outdoor|고급",자재마스터!$Z:$Z,0)) &amp; " " &amp; INDEX(자재마스터!$G:$G, MATCH("aircon_outdoor|고급",자재마스터!$Z:$Z,0)))&amp;" ("&amp;INDEX(자재마스터!$J:$J,MATCH("aircon_outdoor|고급",자재마스터!$Z:$Z,0))&amp;")","매칭없음")</f>
        <v/>
      </c>
      <c r="C199" s="162">
        <f>IFERROR(INDEX(자재마스터!$M:$M,MATCH("aircon_outdoor|고급",자재마스터!$Z:$Z,0)),0)</f>
        <v/>
      </c>
      <c r="D199" s="177">
        <f>1</f>
        <v/>
      </c>
      <c r="E199" s="159">
        <f>C199*D199</f>
        <v/>
      </c>
    </row>
    <row r="200" ht="15" customHeight="1" s="95">
      <c r="A200" s="114" t="inlineStr">
        <is>
          <t>실링팬</t>
        </is>
      </c>
      <c r="B200" s="111">
        <f>IFERROR((INDEX(자재마스터!$F:$F, MATCH("ceiling_fan|고급",자재마스터!$Z:$Z,0)) &amp; " " &amp; INDEX(자재마스터!$G:$G, MATCH("ceiling_fan|고급",자재마스터!$Z:$Z,0)))&amp;" ("&amp;INDEX(자재마스터!$J:$J,MATCH("ceiling_fan|고급",자재마스터!$Z:$Z,0))&amp;")","매칭없음")</f>
        <v/>
      </c>
      <c r="C200" s="162">
        <f>IFERROR(INDEX(자재마스터!$M:$M,MATCH("ceiling_fan|고급",자재마스터!$Z:$Z,0)),0)</f>
        <v/>
      </c>
      <c r="D200" s="177">
        <f>2</f>
        <v/>
      </c>
      <c r="E200" s="159">
        <f>C200*D200</f>
        <v/>
      </c>
    </row>
    <row r="201" ht="15" customHeight="1" s="95">
      <c r="A201" s="114" t="inlineStr">
        <is>
          <t>목공사 (기본 출장)</t>
        </is>
      </c>
      <c r="B201" s="111">
        <f>IFERROR((INDEX(자재마스터!$F:$F, MATCH("carpentry_base|고급",자재마스터!$Z:$Z,0)) &amp; " " &amp; INDEX(자재마스터!$G:$G, MATCH("carpentry_base|고급",자재마스터!$Z:$Z,0)))&amp;" ("&amp;INDEX(자재마스터!$J:$J,MATCH("carpentry_base|고급",자재마스터!$Z:$Z,0))&amp;")","매칭없음")</f>
        <v/>
      </c>
      <c r="C201" s="162">
        <f>IFERROR(INDEX(자재마스터!$M:$M,MATCH("carpentry_base|고급",자재마스터!$Z:$Z,0)),0)</f>
        <v/>
      </c>
      <c r="D201" s="177">
        <f>1</f>
        <v/>
      </c>
      <c r="E201" s="159">
        <f>C201*D201</f>
        <v/>
      </c>
    </row>
    <row r="202" ht="15" customHeight="1" s="95">
      <c r="A202" s="114" t="inlineStr">
        <is>
          <t>확장공사 (샷시 별도)</t>
        </is>
      </c>
      <c r="B202" s="111">
        <f>IFERROR((INDEX(자재마스터!$F:$F, MATCH("expansion|고급",자재마스터!$Z:$Z,0)) &amp; " " &amp; INDEX(자재마스터!$G:$G, MATCH("expansion|고급",자재마스터!$Z:$Z,0)))&amp;" ("&amp;INDEX(자재마스터!$J:$J,MATCH("expansion|고급",자재마스터!$Z:$Z,0))&amp;")","매칭없음")</f>
        <v/>
      </c>
      <c r="C202" s="162">
        <f>IFERROR(INDEX(자재마스터!$M:$M,MATCH("expansion|고급",자재마스터!$Z:$Z,0)),0)</f>
        <v/>
      </c>
      <c r="D202" s="177">
        <f>B27</f>
        <v/>
      </c>
      <c r="E202" s="159">
        <f>C202*D202</f>
        <v/>
      </c>
    </row>
    <row r="203" ht="15" customHeight="1" s="95">
      <c r="A203" s="114" t="inlineStr">
        <is>
          <t>구청 확장공사 신고</t>
        </is>
      </c>
      <c r="B203" s="111">
        <f>IFERROR((INDEX(자재마스터!$F:$F, MATCH("expansion_permit|고급",자재마스터!$Z:$Z,0)) &amp; " " &amp; INDEX(자재마스터!$G:$G, MATCH("expansion_permit|고급",자재마스터!$Z:$Z,0)))&amp;" ("&amp;INDEX(자재마스터!$J:$J,MATCH("expansion_permit|고급",자재마스터!$Z:$Z,0))&amp;")","매칭없음")</f>
        <v/>
      </c>
      <c r="C203" s="162">
        <f>IFERROR(INDEX(자재마스터!$M:$M,MATCH("expansion_permit|고급",자재마스터!$Z:$Z,0)),0)</f>
        <v/>
      </c>
      <c r="D203" s="177">
        <f>1</f>
        <v/>
      </c>
      <c r="E203" s="159">
        <f>C203*D203</f>
        <v/>
      </c>
    </row>
    <row r="204" ht="15" customHeight="1" s="95">
      <c r="A204" s="114" t="inlineStr">
        <is>
          <t>발코니 도장</t>
        </is>
      </c>
      <c r="B204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4" s="162">
        <f>IFERROR(INDEX(자재마스터!$M:$M,MATCH("balcony_paint|고급",자재마스터!$Z:$Z,0)),0)</f>
        <v/>
      </c>
      <c r="D204" s="177">
        <f>B24</f>
        <v/>
      </c>
      <c r="E204" s="159">
        <f>C204*D204</f>
        <v/>
      </c>
    </row>
    <row r="205" ht="15" customHeight="1" s="95">
      <c r="A205" s="114" t="inlineStr">
        <is>
          <t>다용도실 도장</t>
        </is>
      </c>
      <c r="B205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5" s="162">
        <f>IFERROR(INDEX(자재마스터!$M:$M,MATCH("balcony_paint|고급",자재마스터!$Z:$Z,0)),0)</f>
        <v/>
      </c>
      <c r="D205" s="177">
        <f>B26</f>
        <v/>
      </c>
      <c r="E205" s="159">
        <f>C205*D205</f>
        <v/>
      </c>
    </row>
    <row r="206" ht="15" customHeight="1" s="95">
      <c r="A206" s="114" t="inlineStr">
        <is>
          <t>발코니 바닥타일</t>
        </is>
      </c>
      <c r="B206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6" s="162">
        <f>IFERROR(INDEX(자재마스터!$M:$M,MATCH("balcony_floor_tile|고급",자재마스터!$Z:$Z,0)),0)</f>
        <v/>
      </c>
      <c r="D206" s="177">
        <f>B23</f>
        <v/>
      </c>
      <c r="E206" s="159">
        <f>C206*D206</f>
        <v/>
      </c>
    </row>
    <row r="207" ht="15" customHeight="1" s="95">
      <c r="A207" s="114" t="inlineStr">
        <is>
          <t>다용도실 바닥타일</t>
        </is>
      </c>
      <c r="B207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7" s="162">
        <f>IFERROR(INDEX(자재마스터!$M:$M,MATCH("balcony_floor_tile|고급",자재마스터!$Z:$Z,0)),0)</f>
        <v/>
      </c>
      <c r="D207" s="177">
        <f>B25</f>
        <v/>
      </c>
      <c r="E207" s="159">
        <f>C207*D207</f>
        <v/>
      </c>
    </row>
    <row r="208" ht="15" customHeight="1" s="95">
      <c r="A208" s="114" t="inlineStr">
        <is>
          <t>고급 합계</t>
        </is>
      </c>
      <c r="B208" s="167" t="n"/>
      <c r="C208" s="167" t="n"/>
      <c r="D208" s="167" t="n"/>
      <c r="E208" s="159">
        <f>SUM(E155:E207)</f>
        <v/>
      </c>
    </row>
    <row r="209" ht="15" customHeight="1" s="95">
      <c r="A209" s="114" t="inlineStr">
        <is>
          <t>고급 평당</t>
        </is>
      </c>
      <c r="B209" s="167" t="n"/>
      <c r="C209" s="167" t="n"/>
      <c r="D209" s="167" t="n"/>
      <c r="E209" s="159">
        <f>E208/B4</f>
        <v/>
      </c>
    </row>
    <row r="211" ht="13.25" customHeight="1" s="95">
      <c r="A211" s="129" t="inlineStr">
        <is>
          <t>⚙ 사용 가이드: 평형(B4) 변경 → 모든 표 자동 갱신. 자재마스터 변경 → 단가 자동 반영.</t>
        </is>
      </c>
    </row>
  </sheetData>
  <mergeCells count="6">
    <mergeCell ref="A95:E95"/>
    <mergeCell ref="A2:E2"/>
    <mergeCell ref="A1:E1"/>
    <mergeCell ref="A37:E37"/>
    <mergeCell ref="A211:E211"/>
    <mergeCell ref="A153:E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ko-KR</dc:language>
  <dcterms:created xsi:type="dcterms:W3CDTF">2026-05-02T09:21:29Z</dcterms:created>
  <dcterms:modified xsi:type="dcterms:W3CDTF">2026-05-17T08:42:10Z</dcterms:modified>
  <cp:revision>4</cp:revision>
</cp:coreProperties>
</file>